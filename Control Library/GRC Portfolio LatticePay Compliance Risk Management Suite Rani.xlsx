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 sheetId="1" r:id="rId5"/>
    <sheet state="visible" name="Asset Inventory" sheetId="2" r:id="rId6"/>
    <sheet state="visible" name="Risk Mapping" sheetId="3" r:id="rId7"/>
    <sheet state="visible" name="Heat Map Risks" sheetId="4" r:id="rId8"/>
    <sheet state="visible" name="Heat Map dashboard" sheetId="5" r:id="rId9"/>
    <sheet state="visible" name="Heat Map" sheetId="6" r:id="rId10"/>
    <sheet state="visible" name="Control Library" sheetId="7" r:id="rId11"/>
    <sheet state="visible" name="Maturity Pivot Source" sheetId="8" r:id="rId12"/>
    <sheet state="visible" name="Control Rubrics" sheetId="9" r:id="rId13"/>
    <sheet state="visible" name="Maturity Dashboard" sheetId="10" r:id="rId14"/>
    <sheet state="visible" name="Certification readiness tracker" sheetId="11" r:id="rId15"/>
    <sheet state="visible" name="AI System Inventory" sheetId="12" r:id="rId16"/>
    <sheet state="visible" name="Risk Treatment Plan" sheetId="13" r:id="rId17"/>
  </sheets>
  <definedNames>
    <definedName localSheetId="6" name="ExternalData_1">'Control Library'!$A$1:$N$9</definedName>
    <definedName localSheetId="11" name="ExternalData_1">'AI System Inventory'!$A$1:$M$5</definedName>
    <definedName localSheetId="3" name="ExternalData_1">'Heat Map Risks'!$A$1:$J$5</definedName>
    <definedName localSheetId="10" name="ExternalData_1">'Certification readiness tracker'!$A$1:$I$16</definedName>
  </definedNames>
  <calcPr/>
  <pivotCaches>
    <pivotCache cacheId="0" r:id="rId18"/>
    <pivotCache cacheId="1" r:id="rId19"/>
  </pivotCaches>
</workbook>
</file>

<file path=xl/sharedStrings.xml><?xml version="1.0" encoding="utf-8"?>
<sst xmlns="http://schemas.openxmlformats.org/spreadsheetml/2006/main" count="748" uniqueCount="470">
  <si>
    <t>LatticePay – Asset Inventory, Risk Mapping &amp; Governance Workbook</t>
  </si>
  <si>
    <t>Created by: Rani Rookwood</t>
  </si>
  <si>
    <t>Purpose: Portfolio Demonstration (Fictional Scenario for LatticePay)</t>
  </si>
  <si>
    <t>Title</t>
  </si>
  <si>
    <t>LatticePay Compliance, Risk &amp; AI Governance Suite</t>
  </si>
  <si>
    <t>Filename</t>
  </si>
  <si>
    <t>LatticePay Compliance Risk Management Suite.xlsx</t>
  </si>
  <si>
    <t>Author</t>
  </si>
  <si>
    <t>Rani Rookwood</t>
  </si>
  <si>
    <t>Version</t>
  </si>
  <si>
    <t>1.0</t>
  </si>
  <si>
    <t>Date</t>
  </si>
  <si>
    <t>April 2026</t>
  </si>
  <si>
    <t>Contents</t>
  </si>
  <si>
    <t>Updated Control Library; Updated Certification Readiness Tracker; Updated AI System Inventory; Updated Heat Map; Updated Asset Inventory; Updated Cover Sheet</t>
  </si>
  <si>
    <t>SN</t>
  </si>
  <si>
    <t>Information Asset</t>
  </si>
  <si>
    <t>Description</t>
  </si>
  <si>
    <t>Type</t>
  </si>
  <si>
    <t>Classification</t>
  </si>
  <si>
    <t>Asset Owner</t>
  </si>
  <si>
    <t>Asset Custodian</t>
  </si>
  <si>
    <t>Physical/Logical Location</t>
  </si>
  <si>
    <t>Department</t>
  </si>
  <si>
    <t>Legally Required?</t>
  </si>
  <si>
    <t>Value (Financial)</t>
  </si>
  <si>
    <t>Retention</t>
  </si>
  <si>
    <t>ISO 27001 Clause</t>
  </si>
  <si>
    <t>NIST CSF Function/Category</t>
  </si>
  <si>
    <t>Multicloud Environment (Azure, AWS)</t>
  </si>
  <si>
    <t>LatticePay’s cloud infrastructure across Azure and AWS supporting payment processing, customer onboarding, compliance workflows, and internal operational systems. Includes compute, storage, networking, identity, monitoring, and security services used to handle regulated financial data.</t>
  </si>
  <si>
    <t>Digital</t>
  </si>
  <si>
    <t>Restricted</t>
  </si>
  <si>
    <t>IT &amp; Engineering</t>
  </si>
  <si>
    <t>Cloud Administrator</t>
  </si>
  <si>
    <t>AWS Console / API</t>
  </si>
  <si>
    <t>Technology</t>
  </si>
  <si>
    <t>Yes</t>
  </si>
  <si>
    <t>Duration of service</t>
  </si>
  <si>
    <t xml:space="preserve">A.5.9, A.5.23, A.8.9, A.8.16 </t>
  </si>
  <si>
    <t>PR.AC, PR.DS</t>
  </si>
  <si>
    <t>Cloudflare</t>
  </si>
  <si>
    <t>DNS, domain registration, and application security services supporting public‑facing infrastructure</t>
  </si>
  <si>
    <t>IT Security</t>
  </si>
  <si>
    <t>System Administrator</t>
  </si>
  <si>
    <t>Cloudflare SaaS Tenant</t>
  </si>
  <si>
    <t>Security</t>
  </si>
  <si>
    <t>While domain is active</t>
  </si>
  <si>
    <t>A.5.23, A.8.16, A.8.20</t>
  </si>
  <si>
    <t>PR.AC</t>
  </si>
  <si>
    <t>Payroll Records</t>
  </si>
  <si>
    <t>Employee compensation, tax, and benefits data</t>
  </si>
  <si>
    <t>HR &amp; Finance</t>
  </si>
  <si>
    <t>Payroll Officer</t>
  </si>
  <si>
    <t>Payroll System Database</t>
  </si>
  <si>
    <t>HR</t>
  </si>
  <si>
    <t>7 years</t>
  </si>
  <si>
    <t>A.5.12, A.5.15, A.8.2, A.8.11</t>
  </si>
  <si>
    <t>PR.DS</t>
  </si>
  <si>
    <t>Corporate Devices</t>
  </si>
  <si>
    <t>End‑user devices used to access internal systems, AI tooling, and sensitive customer data</t>
  </si>
  <si>
    <t>Physical</t>
  </si>
  <si>
    <t>Confidential</t>
  </si>
  <si>
    <t>IT</t>
  </si>
  <si>
    <t>Endpoint Administrator</t>
  </si>
  <si>
    <t>Employee possession / Office</t>
  </si>
  <si>
    <t>No</t>
  </si>
  <si>
    <t>3–5 years</t>
  </si>
  <si>
    <t>A.6.2, A.8.7, A.8.8, A.8.9, A.8.10</t>
  </si>
  <si>
    <t>Email &amp; Collaboration Platform</t>
  </si>
  <si>
    <t>Internal/external communication system for operations, compliance, and audit correspondence</t>
  </si>
  <si>
    <t>Email System Database</t>
  </si>
  <si>
    <t>2–5 years</t>
  </si>
  <si>
    <t>A.5.1, A.8.16, A.8.21</t>
  </si>
  <si>
    <t>PR.IP</t>
  </si>
  <si>
    <t>Customer Data Platform / CRM</t>
  </si>
  <si>
    <t>Stores customer profiles, transaction history, and AI‑driven insights</t>
  </si>
  <si>
    <t>Product &amp; Operations</t>
  </si>
  <si>
    <t>CRM Administrator</t>
  </si>
  <si>
    <t>CRM Database</t>
  </si>
  <si>
    <t>Operations</t>
  </si>
  <si>
    <t>Duration of customer relationship</t>
  </si>
  <si>
    <t>A.5.12, A.5.15, A.8.2, A.8.11, 8.24</t>
  </si>
  <si>
    <t>LatticePay Website &amp; Customer Portal</t>
  </si>
  <si>
    <t>Public‑facing platform for services and onboarding</t>
  </si>
  <si>
    <t>Public</t>
  </si>
  <si>
    <t>Marketing &amp; Product</t>
  </si>
  <si>
    <t>Web Administrator</t>
  </si>
  <si>
    <t>Hosted Web Environment</t>
  </si>
  <si>
    <t>Marketing</t>
  </si>
  <si>
    <t>While live; backups 1–3 years</t>
  </si>
  <si>
    <t>A.8.16, A.8.20, A.8.24</t>
  </si>
  <si>
    <t>PR.PT</t>
  </si>
  <si>
    <t>Employee Access Badges</t>
  </si>
  <si>
    <t>Physical access credentials for secure office and data‑handling areas</t>
  </si>
  <si>
    <t>Security Team</t>
  </si>
  <si>
    <t>Security Office</t>
  </si>
  <si>
    <t>HR/Security</t>
  </si>
  <si>
    <t>Active employment period</t>
  </si>
  <si>
    <t xml:space="preserve"> A.5.18, A.7.1, A.7.2, A.7.3</t>
  </si>
  <si>
    <t>Backup &amp; Recovery Systems</t>
  </si>
  <si>
    <t>Redundant storage for critical data, including AI model artifacts and transaction logs</t>
  </si>
  <si>
    <t>Backup Administrator</t>
  </si>
  <si>
    <t>Vendor‑Hosted Backup Tenant</t>
  </si>
  <si>
    <t>30–90 days</t>
  </si>
  <si>
    <t>A.5.23, A.8.13, A.8.23</t>
  </si>
  <si>
    <t>Network Firewall &amp; Security Appliances</t>
  </si>
  <si>
    <t>Devices enforcing perimeter security, traffic filtering, and intrusion detection</t>
  </si>
  <si>
    <t>Network Administrator</t>
  </si>
  <si>
    <t>Network Infrastructure</t>
  </si>
  <si>
    <t>Device lifecycle 5 years; logs 30–90 days</t>
  </si>
  <si>
    <t>A.8.16, A.8.20</t>
  </si>
  <si>
    <t>Color</t>
  </si>
  <si>
    <t>Red</t>
  </si>
  <si>
    <t>Information intended for public consumption with no confidentiality requirement.</t>
  </si>
  <si>
    <t>Yellow</t>
  </si>
  <si>
    <t>Internal information requiring controlled access to prevent unauthorized disclosure.</t>
  </si>
  <si>
    <t>Green</t>
  </si>
  <si>
    <t>Highly sensitive information, including customer data, payment information, AI model outputs, and operational systems requiring strict controls and monitoring.</t>
  </si>
  <si>
    <t>Asset</t>
  </si>
  <si>
    <t>Mapped Controls</t>
  </si>
  <si>
    <t>Threats</t>
  </si>
  <si>
    <t>Vulnerabilities</t>
  </si>
  <si>
    <t>Controls</t>
  </si>
  <si>
    <t>Inherent Risk Score</t>
  </si>
  <si>
    <t>Residual Risk Score</t>
  </si>
  <si>
    <t>CL‑001, CL‑002, CL‑003, CL‑004</t>
  </si>
  <si>
    <t>Cross‑cloud misconfiguration,
inconsistent IAM policies between AWS IAM &amp; Azure RBAC,
API exposure across multiple cloud providers, data leakage during cross‑cloud transfers,Increased attack surface due to multicloud footprint</t>
  </si>
  <si>
    <t>Lack of unified configuration baseline, fragmented monitoring/logging, inconsistent encryption policies, misaligned identity governance, over‑permissioned service principals / roles, weak cross‑cloud network segmentation</t>
  </si>
  <si>
    <r>
      <rPr>
        <rFont val="Calibri"/>
        <b/>
        <color theme="1"/>
        <sz val="11.0"/>
      </rPr>
      <t>ISO 27001</t>
    </r>
    <r>
      <rPr>
        <rFont val="Calibri"/>
        <color theme="1"/>
        <sz val="11.0"/>
      </rPr>
      <t xml:space="preserve"> (A.5.23, A.8.8, A.8.9, A.8.10, A.8.16),
</t>
    </r>
    <r>
      <rPr>
        <rFont val="Calibri"/>
        <b/>
        <color theme="1"/>
        <sz val="11.0"/>
      </rPr>
      <t>NIST CSF</t>
    </r>
    <r>
      <rPr>
        <rFont val="Calibri"/>
        <color theme="1"/>
        <sz val="11.0"/>
      </rPr>
      <t xml:space="preserve"> (ID.AM‑01, PR.IP-01, PR.AC‑01, PR.DS‑01, DE.CM‑01, RS.MI‑01, RC.IM‑01)</t>
    </r>
  </si>
  <si>
    <t>High</t>
  </si>
  <si>
    <t>Medium</t>
  </si>
  <si>
    <t>CL‑001, CL‑003</t>
  </si>
  <si>
    <t>DNS hijacking, DDoS attacks, WAF bypass, API exploitation, misconfigured firewall rules, CDN cache poisoning, Zero Trust policy misconfiguration, certificate mismanagement,  account takeover</t>
  </si>
  <si>
    <t>Weak API tokens, over‑permissive Cloudflare roles, misconfigured DNS records, disabled or misconfigured WAF rules, missing TLS enforcement, lack of logging retention, inconsistent Zero Trust policies, missing MFA on Cloudflare accounts</t>
  </si>
  <si>
    <r>
      <rPr>
        <rFont val="Calibri"/>
        <b/>
        <color theme="1"/>
        <sz val="11.0"/>
      </rPr>
      <t>ISO 27001</t>
    </r>
    <r>
      <rPr>
        <rFont val="Calibri"/>
        <color theme="1"/>
        <sz val="11.0"/>
      </rPr>
      <t xml:space="preserve"> (A.5.15, A.5.23, A.8.16, A.8.20),
</t>
    </r>
    <r>
      <rPr>
        <rFont val="Calibri"/>
        <b/>
        <color theme="1"/>
        <sz val="11.0"/>
      </rPr>
      <t>NIST CSF</t>
    </r>
    <r>
      <rPr>
        <rFont val="Calibri"/>
        <color theme="1"/>
        <sz val="11.0"/>
      </rPr>
      <t xml:space="preserve"> (ID.AM‑01,  PR.AC‑01, PR.DS‑01, DE.CM‑01, DE.CM‑07)</t>
    </r>
  </si>
  <si>
    <t>CL‑001, CL‑003, CL‑005</t>
  </si>
  <si>
    <t>Data breach, unauthorized access, misconfiguration, system outage, insider threat, payroll fraud, ransomware</t>
  </si>
  <si>
    <t>Weak access controls, cloud exposure, outdated patches, physical theft, over‑permissioned HR roles, insecure payroll exports, insufficient logging</t>
  </si>
  <si>
    <r>
      <rPr>
        <rFont val="Calibri"/>
        <b/>
        <color theme="1"/>
        <sz val="11.0"/>
      </rPr>
      <t>ISO 27001</t>
    </r>
    <r>
      <rPr>
        <rFont val="Calibri"/>
        <color theme="1"/>
        <sz val="11.0"/>
      </rPr>
      <t xml:space="preserve"> (A.5.12, A.5.15, A.8.11, A.8.4, A.8.16),
</t>
    </r>
    <r>
      <rPr>
        <rFont val="Calibri"/>
        <b/>
        <color theme="1"/>
        <sz val="11.0"/>
      </rPr>
      <t>NIST CSF</t>
    </r>
    <r>
      <rPr>
        <rFont val="Calibri"/>
        <color theme="1"/>
        <sz val="11.0"/>
      </rPr>
      <t xml:space="preserve"> (ID.AM‑01, ID.RA‑03, PR.AC‑01, PR.AC‑04, PR.DS‑01, PR.DS‑02, DE.CM‑01, DE.CM‑07)</t>
    </r>
  </si>
  <si>
    <t>Device theft, unauthorized access, malware, ransomware, misconfiguration, phishing, data leakage</t>
  </si>
  <si>
    <t>Weak access controls, outdated patches, missing encryption, over‑permissioned accounts, insecure Wi‑Fi, disabled endpoint protection</t>
  </si>
  <si>
    <r>
      <rPr>
        <rFont val="Calibri"/>
        <b/>
        <color theme="1"/>
        <sz val="11.0"/>
      </rPr>
      <t>ISO 27001</t>
    </r>
    <r>
      <rPr>
        <rFont val="Calibri"/>
        <color theme="1"/>
        <sz val="11.0"/>
      </rPr>
      <t xml:space="preserve"> (A.5.15, A.6.2,  A.8.7, A.8.8, A.8.9, A.8.16),
</t>
    </r>
    <r>
      <rPr>
        <rFont val="Calibri"/>
        <b/>
        <color theme="1"/>
        <sz val="11.0"/>
      </rPr>
      <t>NIST CSF</t>
    </r>
    <r>
      <rPr>
        <rFont val="Calibri"/>
        <color theme="1"/>
        <sz val="11.0"/>
      </rPr>
      <t xml:space="preserve"> (ID.AM‑01, ID.RA‑03, PR.AC‑01, PR.AC‑03, PR.DS‑01, PR.DS‑02, PR.PT‑04, PR.PT‑05, DE.CM‑01, DE.CM‑07)</t>
    </r>
  </si>
  <si>
    <t>Email &amp; Collaboration Tool</t>
  </si>
  <si>
    <t>CL‑001, CL‑003, CL‑004</t>
  </si>
  <si>
    <t>Business Email Compromise (BEC), phishing, malware via attachments or links, unauthorized mailbox access, misconfigured email security settings (SPF/DKIM/DMARC) data leakage, compromised admin accounts</t>
  </si>
  <si>
    <t>Weak/missing MFA for email accounts, overpermissioned roles, poor anti-phishing controls, misconfiguration (SPF/DKIM/DMARC), insufficient logging, lack of DLP rules for sensitive data, unpatched email clients, insecure third-party integrations</t>
  </si>
  <si>
    <r>
      <rPr>
        <rFont val="Calibri"/>
        <b/>
        <color theme="1"/>
        <sz val="11.0"/>
      </rPr>
      <t xml:space="preserve">ISO 27001 </t>
    </r>
    <r>
      <rPr>
        <rFont val="Calibri"/>
        <color theme="1"/>
        <sz val="11.0"/>
      </rPr>
      <t xml:space="preserve">(A.5.15, A.8.7, A.8.8, A.8.16, A.8.21), 
</t>
    </r>
    <r>
      <rPr>
        <rFont val="Calibri"/>
        <b/>
        <color theme="1"/>
        <sz val="11.0"/>
      </rPr>
      <t>NIST CSF</t>
    </r>
    <r>
      <rPr>
        <rFont val="Calibri"/>
        <color theme="1"/>
        <sz val="11.0"/>
      </rPr>
      <t xml:space="preserve"> (PR.AC-01, PR.DS-01, PR.PT-04, DE.CM-01, DE.CM-07)</t>
    </r>
  </si>
  <si>
    <t>CL‑001, CL‑002, CL‑003, CL‑005</t>
  </si>
  <si>
    <t>Data breach, unauthorized access, misconfiguration, API exploitation, insider misuse, insecure integrations, data poisoning</t>
  </si>
  <si>
    <t>Weak access controls, outdated patches, misconfigured sharing rules, insecure API tokens, insufficient logging, unencrypted exports, over‑permissioned roles</t>
  </si>
  <si>
    <r>
      <rPr>
        <rFont val="Calibri"/>
        <b/>
        <color theme="1"/>
        <sz val="11.0"/>
      </rPr>
      <t>ISO 27001</t>
    </r>
    <r>
      <rPr>
        <rFont val="Calibri"/>
        <color theme="1"/>
        <sz val="11.0"/>
      </rPr>
      <t xml:space="preserve"> (A.5.12, A.5.15, A.8.8, A.8.11,  A.8.16,  A.8.24)
</t>
    </r>
    <r>
      <rPr>
        <rFont val="Calibri"/>
        <b/>
        <color theme="1"/>
        <sz val="11.0"/>
      </rPr>
      <t>NIST CSF</t>
    </r>
    <r>
      <rPr>
        <rFont val="Calibri"/>
        <color theme="1"/>
        <sz val="11.0"/>
      </rPr>
      <t xml:space="preserve"> (ID.AM‑01, ID.RA‑03, PR.AC‑01, PR.AC‑04, PR.DS‑01, PR.DS‑02, DE.CM‑01, DE.CM‑07)</t>
    </r>
  </si>
  <si>
    <t>CL‑001, CL‑002, CL‑003</t>
  </si>
  <si>
    <t>Data breach, unauthorized access, misconfiguration, API exploitation, session hijacking, DDoS attacks, insecure integrations</t>
  </si>
  <si>
    <t>Weak access controls, outdated patches, insecure session management, missing TLS enforcement, insufficient logging, insecure cookies, misconfigured APIs</t>
  </si>
  <si>
    <r>
      <rPr>
        <rFont val="Calibri"/>
        <b/>
        <color theme="1"/>
        <sz val="11.0"/>
      </rPr>
      <t>ISO 27001</t>
    </r>
    <r>
      <rPr>
        <rFont val="Calibri"/>
        <color theme="1"/>
        <sz val="11.0"/>
      </rPr>
      <t xml:space="preserve"> (A.5.15, A.8.16, A.8.20, A.8.24),
</t>
    </r>
    <r>
      <rPr>
        <rFont val="Calibri"/>
        <b/>
        <color theme="1"/>
        <sz val="11.0"/>
      </rPr>
      <t>NIST CSF</t>
    </r>
    <r>
      <rPr>
        <rFont val="Calibri"/>
        <color theme="1"/>
        <sz val="11.0"/>
      </rPr>
      <t xml:space="preserve"> (ID.AM‑01, ID.RA‑03, PR.AC‑01, PR.AC‑04, PR.DS‑01, PR.DS‑02, PR.PT‑03, PR.PT‑04, PR.PT‑06, DE.CM‑01, DE.CM‑07)</t>
    </r>
  </si>
  <si>
    <t>Unauthorized access, badge theft, cloning, tailgating, insider misuse, misconfigured badge permissions</t>
  </si>
  <si>
    <t>Weak badge issuance, missing revocation, insufficient monitoring, insecure storage, over‑permissioned access, lack of MFA for sensitive areas</t>
  </si>
  <si>
    <r>
      <rPr>
        <rFont val="Calibri"/>
        <b/>
        <color theme="1"/>
        <sz val="11.0"/>
      </rPr>
      <t xml:space="preserve">ISO 27001 </t>
    </r>
    <r>
      <rPr>
        <rFont val="Calibri"/>
        <color theme="1"/>
        <sz val="11.0"/>
      </rPr>
      <t xml:space="preserve">(A.5.18, A.7.1, A.7.2, A.7.4, A.8.16),
</t>
    </r>
    <r>
      <rPr>
        <rFont val="Calibri"/>
        <b/>
        <color theme="1"/>
        <sz val="11.0"/>
      </rPr>
      <t>NIST CSF</t>
    </r>
    <r>
      <rPr>
        <rFont val="Calibri"/>
        <color theme="1"/>
        <sz val="11.0"/>
      </rPr>
      <t xml:space="preserve"> (ID.AM‑01, ID.RA‑03, PR.AC‑01, PR.AC‑03, PR.AC‑06, PR.PT‑06, DE.CM‑01, DE.CM‑07)</t>
    </r>
  </si>
  <si>
    <t>Data loss, corruption, ransomware, unauthorized access, misconfiguration, vendor outage, failed restores</t>
  </si>
  <si>
    <t>Weak access controls, missing encryption, insufficient retention, untested restores, over‑permissioned admins, lack of immutable backups</t>
  </si>
  <si>
    <r>
      <rPr>
        <rFont val="Calibri"/>
        <b/>
        <color theme="1"/>
        <sz val="11.0"/>
      </rPr>
      <t>ISO 27001</t>
    </r>
    <r>
      <rPr>
        <rFont val="Calibri"/>
        <color theme="1"/>
        <sz val="11.0"/>
      </rPr>
      <t xml:space="preserve"> (A.5.15, A.8.13, A.8.16, A.8.23),
</t>
    </r>
    <r>
      <rPr>
        <rFont val="Calibri"/>
        <b/>
        <color theme="1"/>
        <sz val="11.0"/>
      </rPr>
      <t>NIST CSF</t>
    </r>
    <r>
      <rPr>
        <rFont val="Calibri"/>
        <color theme="1"/>
        <sz val="11.0"/>
      </rPr>
      <t xml:space="preserve"> (ID.AM‑01, ID.RA‑03, PR.AC‑01, PR.AC‑04, PR.DS‑01, PR.DS‑02, PR.PT‑05, DE.CM‑01, DE.CM‑07, RC.RP‑01, RC.RP‑02)</t>
    </r>
  </si>
  <si>
    <t>Intrusion attempts, misconfiguration, unauthorized access, DDoS, VPN compromise, IDS/IPS bypass, firmware vulnerabilities</t>
  </si>
  <si>
    <t>Weak access controls, outdated firmware, over‑permissive rules, insufficient segmentation, missing MFA, poor logging, insecure VPN configs</t>
  </si>
  <si>
    <r>
      <rPr>
        <rFont val="Calibri"/>
        <b/>
        <color theme="1"/>
        <sz val="11.0"/>
      </rPr>
      <t>ISO 27001</t>
    </r>
    <r>
      <rPr>
        <rFont val="Calibri"/>
        <color theme="1"/>
        <sz val="11.0"/>
      </rPr>
      <t xml:space="preserve"> (A.5.15, A.8.9,  A.8.16, A.8.20),
</t>
    </r>
    <r>
      <rPr>
        <rFont val="Calibri"/>
        <b/>
        <color theme="1"/>
        <sz val="11.0"/>
      </rPr>
      <t>NIST CSF</t>
    </r>
    <r>
      <rPr>
        <rFont val="Calibri"/>
        <color theme="1"/>
        <sz val="11.0"/>
      </rPr>
      <t xml:space="preserve"> (ID.AM‑01, ID.RA‑03, PR.AC‑01, PR.AC‑04, PR.DS‑02, PR.PT‑03, PR.PT‑04, PR.PT‑06, DE.CM‑01, DE.CM‑07)</t>
    </r>
  </si>
  <si>
    <t>Risk ID</t>
  </si>
  <si>
    <t>Risk Description</t>
  </si>
  <si>
    <t>Inherent Likelihood</t>
  </si>
  <si>
    <t>Inherent Impact</t>
  </si>
  <si>
    <t>Inherent Score</t>
  </si>
  <si>
    <t>Residual Likelihood</t>
  </si>
  <si>
    <t>Residual Impact</t>
  </si>
  <si>
    <t>Residual Score</t>
  </si>
  <si>
    <t>Owner</t>
  </si>
  <si>
    <t>R-001</t>
  </si>
  <si>
    <t>Multicloud</t>
  </si>
  <si>
    <t>Misconfiguration leads to breach</t>
  </si>
  <si>
    <t>Cloud</t>
  </si>
  <si>
    <t>R-002</t>
  </si>
  <si>
    <t>CRM</t>
  </si>
  <si>
    <t>Unauthorized access</t>
  </si>
  <si>
    <t>Sales</t>
  </si>
  <si>
    <t>R-003</t>
  </si>
  <si>
    <t>Firewalls</t>
  </si>
  <si>
    <t>Rule misconfig allows intrusion</t>
  </si>
  <si>
    <t>R-004</t>
  </si>
  <si>
    <t>AI Fraud Model</t>
  </si>
  <si>
    <t>Bias or drift</t>
  </si>
  <si>
    <t>AI Governance</t>
  </si>
  <si>
    <t>SUM of Inherent Likelihood</t>
  </si>
  <si>
    <t>SUM of Inherent Impact</t>
  </si>
  <si>
    <t>SUM of Residual Likelihood</t>
  </si>
  <si>
    <t>SUM of Residual Impact</t>
  </si>
  <si>
    <t>Grand Total</t>
  </si>
  <si>
    <t>Impact\Likelihood</t>
  </si>
  <si>
    <t>Risk Score Range</t>
  </si>
  <si>
    <t>Risk Level</t>
  </si>
  <si>
    <t>15-25</t>
  </si>
  <si>
    <t>Low</t>
  </si>
  <si>
    <t>Control ID</t>
  </si>
  <si>
    <t>Control Name</t>
  </si>
  <si>
    <t>Control Description</t>
  </si>
  <si>
    <t>Control Type</t>
  </si>
  <si>
    <t>ISO 27001 Clauses</t>
  </si>
  <si>
    <t>ISO 42001 Clauses</t>
  </si>
  <si>
    <t>NIST CSF Mapping</t>
  </si>
  <si>
    <t>Applies To Assets</t>
  </si>
  <si>
    <t>Evidence Required</t>
  </si>
  <si>
    <t>Control Owner</t>
  </si>
  <si>
    <t>Implementation Status</t>
  </si>
  <si>
    <t>Control Maturity</t>
  </si>
  <si>
    <t>Evidence Maturity</t>
  </si>
  <si>
    <t>Notes</t>
  </si>
  <si>
    <t>CL-000</t>
  </si>
  <si>
    <t>Information Security Policy</t>
  </si>
  <si>
    <t>Establishes and communicates the organization’s information security objectives, principles, and governance expectations. Forms the foundation of the ISMS.</t>
  </si>
  <si>
    <t>Preventive</t>
  </si>
  <si>
    <t>A.5.1</t>
  </si>
  <si>
    <t>-</t>
  </si>
  <si>
    <t>ID.GV‑01</t>
  </si>
  <si>
    <t>All assets</t>
  </si>
  <si>
    <t>ISMS Policy, annual review log, approval record</t>
  </si>
  <si>
    <t>In Progress</t>
  </si>
  <si>
    <t>Needs annual review</t>
  </si>
  <si>
    <t>CL-001</t>
  </si>
  <si>
    <t>Access Control</t>
  </si>
  <si>
    <t>Enforces least privilege and role-based access</t>
  </si>
  <si>
    <t>A.5.15; A.8.2</t>
  </si>
  <si>
    <t>PR.AC-01</t>
  </si>
  <si>
    <t>Corporate Laptops; CRM; Firewalls</t>
  </si>
  <si>
    <t>Access logs; RBAC configs</t>
  </si>
  <si>
    <t>Implemented</t>
  </si>
  <si>
    <t>MFA enforced</t>
  </si>
  <si>
    <t>CL-002</t>
  </si>
  <si>
    <t>Secure Configuration</t>
  </si>
  <si>
    <t>Baseline configuration for systems and devices</t>
  </si>
  <si>
    <t>A.8.9</t>
  </si>
  <si>
    <t>PR.IP-01</t>
  </si>
  <si>
    <t>Cloud; Endpoints; Firewalls</t>
  </si>
  <si>
    <t>Config baselines; screenshots</t>
  </si>
  <si>
    <t>IT Ops</t>
  </si>
  <si>
    <t>Needs cloud baseline update</t>
  </si>
  <si>
    <t>CL-003</t>
  </si>
  <si>
    <t>Logging &amp; Monitoring</t>
  </si>
  <si>
    <t>Centralized logging and alerting</t>
  </si>
  <si>
    <t>Detective</t>
  </si>
  <si>
    <t>A.8.16; A.8.24</t>
  </si>
  <si>
    <t>DE.CM-01</t>
  </si>
  <si>
    <t>SIEM logs; alert reports</t>
  </si>
  <si>
    <t>SIEM tuned</t>
  </si>
  <si>
    <t>CL-004</t>
  </si>
  <si>
    <t>Vulnerability Management</t>
  </si>
  <si>
    <t>Scanning and patching</t>
  </si>
  <si>
    <t>A.8.8</t>
  </si>
  <si>
    <t>PR.IP-12</t>
  </si>
  <si>
    <t>Cloud; Endpoints</t>
  </si>
  <si>
    <t>Scan reports; patch logs</t>
  </si>
  <si>
    <t>Patch cadence improving</t>
  </si>
  <si>
    <t>CL-005</t>
  </si>
  <si>
    <t>Backup &amp; Recovery</t>
  </si>
  <si>
    <t>Ensures data resilience</t>
  </si>
  <si>
    <t>Corrective</t>
  </si>
  <si>
    <t>A.8.13</t>
  </si>
  <si>
    <t>PR.IP-04</t>
  </si>
  <si>
    <t>Backup Systems</t>
  </si>
  <si>
    <t>Backup logs; restore tests</t>
  </si>
  <si>
    <t>Quarterly restore tests</t>
  </si>
  <si>
    <t>CL-006</t>
  </si>
  <si>
    <t>AI Risk Assessment</t>
  </si>
  <si>
    <t>Evaluates AI system risks</t>
  </si>
  <si>
    <t>A.5.7</t>
  </si>
  <si>
    <t>6.4; 7.2</t>
  </si>
  <si>
    <t>ID.RA-03</t>
  </si>
  <si>
    <t>AI Systems</t>
  </si>
  <si>
    <t>Risk assessments; approvals</t>
  </si>
  <si>
    <t>Needs fairness metrics</t>
  </si>
  <si>
    <t>CL-007</t>
  </si>
  <si>
    <t>Human Oversight</t>
  </si>
  <si>
    <t>Ensures HITL/HOTL controls</t>
  </si>
  <si>
    <t>A.6.3</t>
  </si>
  <si>
    <t>7.3</t>
  </si>
  <si>
    <t>PR.PT-03</t>
  </si>
  <si>
    <t>Oversight logs; approvals</t>
  </si>
  <si>
    <t>Product</t>
  </si>
  <si>
    <t>Oversight model defined</t>
  </si>
  <si>
    <t>Applies To Asset</t>
  </si>
  <si>
    <t>Combined Score</t>
  </si>
  <si>
    <t>Corporate Laptops</t>
  </si>
  <si>
    <t>All Assets</t>
  </si>
  <si>
    <t>Control Maturity Rubric</t>
  </si>
  <si>
    <t>Evidence Maturity Rubric</t>
  </si>
  <si>
    <t>Level</t>
  </si>
  <si>
    <t>Label</t>
  </si>
  <si>
    <t>Initial</t>
  </si>
  <si>
    <t>Controls are informal or inconsistently applied; no documented procedures; reactive issue handling; unclear ownership; no metrics or governance.</t>
  </si>
  <si>
    <t>Evidence missing or incomplete; ad hoc collection; no versioning or timestamps; limited traceability; does not demonstrate control effectiveness.</t>
  </si>
  <si>
    <t>Developing</t>
  </si>
  <si>
    <t>Controls partially documented but inconsistently followed; limited standardization; tooling exists but not fully configured; gaps in coverage; early-stage tracking without analysis.</t>
  </si>
  <si>
    <t>Evidence exists but inconsistent or outdated; manually collected; limited traceability; shows activity but not full control coverage.</t>
  </si>
  <si>
    <t>Defined</t>
  </si>
  <si>
    <t>Controls fully documented with clear owners; standardized implementation; processes repeatable; tooling implemented but needs tuning; metrics defined but not consistently reviewed.</t>
  </si>
  <si>
    <t>Evidence collected on a predictable schedule; standardized formats; versioning and timestamps present; demonstrates control operation but lacks trend analysis.</t>
  </si>
  <si>
    <t>Managed</t>
  </si>
  <si>
    <t>Controls consistently implemented and monitored; evidence produced on a defined cadence; tooling integrated with alerting; KPIs/KRIs tracked; exceptions formally logged and remediated.</t>
  </si>
  <si>
    <t>Evidence complete, accurate, and consistently maintained; automated or semi-automated collection; clear lineage; demonstrates effectiveness with trend data.</t>
  </si>
  <si>
    <t>Optimized</t>
  </si>
  <si>
    <t>Controls automated where possible; continuous improvement cycle; predictive analytics; benchmarking; governance-driven enhancements.</t>
  </si>
  <si>
    <t>Evidence fully automated and audit-ready; real-time dashboards; analytics and anomaly detection; strong linkage to governance; supports continuous improvement.</t>
  </si>
  <si>
    <t>AVERAGE of Combined Score</t>
  </si>
  <si>
    <t>Standard</t>
  </si>
  <si>
    <t>Clause ID</t>
  </si>
  <si>
    <t>Clause Title</t>
  </si>
  <si>
    <t>Requirement Summary</t>
  </si>
  <si>
    <t>Evidence Owner</t>
  </si>
  <si>
    <t>Status</t>
  </si>
  <si>
    <t>Last Updated</t>
  </si>
  <si>
    <t>ISO 27001</t>
  </si>
  <si>
    <t>Maintain and communicate IS policies</t>
  </si>
  <si>
    <t>ISMS Policy</t>
  </si>
  <si>
    <t>Threat Intelligence</t>
  </si>
  <si>
    <t>Gather and analyze threat intel</t>
  </si>
  <si>
    <t>Threat intel reports</t>
  </si>
  <si>
    <t>Add Cloudflare threat feeds</t>
  </si>
  <si>
    <t>A.5.9</t>
  </si>
  <si>
    <t>Inventory of Assets</t>
  </si>
  <si>
    <t>Maintain asset inventory</t>
  </si>
  <si>
    <t>Asset list; ownership</t>
  </si>
  <si>
    <t>Complete</t>
  </si>
  <si>
    <t>Updated with 10 assets</t>
  </si>
  <si>
    <t>A.5.12</t>
  </si>
  <si>
    <t>Classification of Information</t>
  </si>
  <si>
    <t>Apply classification scheme</t>
  </si>
  <si>
    <t>Classification matrix</t>
  </si>
  <si>
    <t>Matches Asset Inventory</t>
  </si>
  <si>
    <t>A.5.23</t>
  </si>
  <si>
    <t>Cloud Services Security</t>
  </si>
  <si>
    <t>Manage cloud risks</t>
  </si>
  <si>
    <t>Cloud configs; RBAC</t>
  </si>
  <si>
    <t>Needs Azure baseline</t>
  </si>
  <si>
    <t>A.6.1</t>
  </si>
  <si>
    <t>Screening</t>
  </si>
  <si>
    <t>Background checks</t>
  </si>
  <si>
    <t>HR screening docs</t>
  </si>
  <si>
    <t>Annual rechecks pending</t>
  </si>
  <si>
    <t>Awareness &amp; Training</t>
  </si>
  <si>
    <t>Provide security training</t>
  </si>
  <si>
    <t>Training logs</t>
  </si>
  <si>
    <t>Add phishing metrics</t>
  </si>
  <si>
    <t>A.8.7</t>
  </si>
  <si>
    <t>Malware Protection</t>
  </si>
  <si>
    <t>Anti-malware controls</t>
  </si>
  <si>
    <t>Endpoint logs</t>
  </si>
  <si>
    <t>Verified via SIEM</t>
  </si>
  <si>
    <t>Configuration Management</t>
  </si>
  <si>
    <t>Baseline Configs</t>
  </si>
  <si>
    <t>Config baselines</t>
  </si>
  <si>
    <t>Cloud baseline missing</t>
  </si>
  <si>
    <t>A.8.11</t>
  </si>
  <si>
    <t>Data Masking</t>
  </si>
  <si>
    <t>Mask sensitive data</t>
  </si>
  <si>
    <t>Masking configs</t>
  </si>
  <si>
    <t>Engineering</t>
  </si>
  <si>
    <t>Not Started</t>
  </si>
  <si>
    <t>TBD</t>
  </si>
  <si>
    <t>Needed for CRM exports</t>
  </si>
  <si>
    <t>A.8.16</t>
  </si>
  <si>
    <t>Monitoring Activities</t>
  </si>
  <si>
    <t>Log and monitor systems</t>
  </si>
  <si>
    <t>SIEM logs</t>
  </si>
  <si>
    <t>SIEM integrated</t>
  </si>
  <si>
    <t>ISO 42001</t>
  </si>
  <si>
    <t>6.4</t>
  </si>
  <si>
    <t>AI System Inventory</t>
  </si>
  <si>
    <t>Maintain AI inventory</t>
  </si>
  <si>
    <t>Inventory sheet</t>
  </si>
  <si>
    <t>Needs vendor AI entries</t>
  </si>
  <si>
    <t>7.2</t>
  </si>
  <si>
    <t>Data for AI Systems</t>
  </si>
  <si>
    <t>Ensure data quality</t>
  </si>
  <si>
    <t>Data lineage docs</t>
  </si>
  <si>
    <t>Data Science</t>
  </si>
  <si>
    <t>Pending lineage mapping</t>
  </si>
  <si>
    <t>Documentation for AI systems</t>
  </si>
  <si>
    <t>Maintain AI documentation</t>
  </si>
  <si>
    <t>Model docs</t>
  </si>
  <si>
    <t>Add versioning</t>
  </si>
  <si>
    <t>8.2</t>
  </si>
  <si>
    <t>Monitoring &amp; Traceability</t>
  </si>
  <si>
    <t>Monitor AI performance</t>
  </si>
  <si>
    <t>Drift metrics</t>
  </si>
  <si>
    <t>Requires dashboards</t>
  </si>
  <si>
    <t>Human oversight</t>
  </si>
  <si>
    <t>Define oversight model</t>
  </si>
  <si>
    <t>Oversight logs</t>
  </si>
  <si>
    <t>HITL/HOTL defined</t>
  </si>
  <si>
    <t>Internal Audit</t>
  </si>
  <si>
    <t>Audit AI systems</t>
  </si>
  <si>
    <t>Audit reports</t>
  </si>
  <si>
    <t>Schedule Q3</t>
  </si>
  <si>
    <t>Corrective Action</t>
  </si>
  <si>
    <t>Address nonconformities</t>
  </si>
  <si>
    <t>CAPA logs</t>
  </si>
  <si>
    <t>To be added</t>
  </si>
  <si>
    <t>AI System ID</t>
  </si>
  <si>
    <t>AI System Name</t>
  </si>
  <si>
    <t>Purpose</t>
  </si>
  <si>
    <t>AI Type</t>
  </si>
  <si>
    <t>Data Inputs</t>
  </si>
  <si>
    <t>Data Outputs</t>
  </si>
  <si>
    <t>Monitoring</t>
  </si>
  <si>
    <t>Third-Party?</t>
  </si>
  <si>
    <t>Lifecycle Stage</t>
  </si>
  <si>
    <t>AI-001</t>
  </si>
  <si>
    <t>Fraud Scoring Model</t>
  </si>
  <si>
    <t>Detect fraudulent transactions</t>
  </si>
  <si>
    <t>ML Model</t>
  </si>
  <si>
    <t>Transaction data</t>
  </si>
  <si>
    <t>Fraud score</t>
  </si>
  <si>
    <t>HITL</t>
  </si>
  <si>
    <t>Drift + accuracy</t>
  </si>
  <si>
    <t>Model docs; metrics</t>
  </si>
  <si>
    <t>Risk</t>
  </si>
  <si>
    <t>Production</t>
  </si>
  <si>
    <t>AI-002</t>
  </si>
  <si>
    <t>Underwriting Assistant</t>
  </si>
  <si>
    <t>Support credit decisions</t>
  </si>
  <si>
    <t>ML + Rules</t>
  </si>
  <si>
    <t>Credit data</t>
  </si>
  <si>
    <t>Decision support</t>
  </si>
  <si>
    <t>HOTL</t>
  </si>
  <si>
    <t>Thresholds</t>
  </si>
  <si>
    <t>Test results</t>
  </si>
  <si>
    <t>Credit Risk</t>
  </si>
  <si>
    <t>Pilot</t>
  </si>
  <si>
    <t>AI-003</t>
  </si>
  <si>
    <t>Customer Support Copilot</t>
  </si>
  <si>
    <t>Assist support agents</t>
  </si>
  <si>
    <t>LLM</t>
  </si>
  <si>
    <t>Chat logs</t>
  </si>
  <si>
    <t>Suggested responses</t>
  </si>
  <si>
    <t>Post-hoc</t>
  </si>
  <si>
    <t>Quality sampling</t>
  </si>
  <si>
    <t>Vendor docs</t>
  </si>
  <si>
    <t>Support</t>
  </si>
  <si>
    <t>AI-004</t>
  </si>
  <si>
    <t>Engineering Copilot</t>
  </si>
  <si>
    <t>Developer assistance</t>
  </si>
  <si>
    <t>Code</t>
  </si>
  <si>
    <t>Suggestions</t>
  </si>
  <si>
    <t>Light oversight</t>
  </si>
  <si>
    <t>Basic usage analytics; periodic quality sampling</t>
  </si>
  <si>
    <t>Treatment Option</t>
  </si>
  <si>
    <t>Treatment Actions</t>
  </si>
  <si>
    <t>Due Date</t>
  </si>
  <si>
    <t>R‑001</t>
  </si>
  <si>
    <t>Mitigate</t>
  </si>
  <si>
    <t>Implement unified IAM baseline (CL‑002 Secure Configuration);
Enable CSPM for continuous posture monitoring (CL‑003 Logging &amp; Monitoring);
Enforce MFA for cloud admin roles (CL‑001 Access Control).</t>
  </si>
  <si>
    <t>Needs Azure RBAC cleanup</t>
  </si>
  <si>
    <t>R‑002</t>
  </si>
  <si>
    <t>Conduct CRM RBAC review and remove over‑permissioned roles (CL‑001 Access Control);
Enable MFA for CRM users and admins (CL‑001 Access Control);
Encrypt CRM exports and apply masking where applicable (CL‑005 Backup &amp; Recovery + CL‑002 Secure Configuration)</t>
  </si>
  <si>
    <t>Pending MFA rollout</t>
  </si>
  <si>
    <t>R‑003</t>
  </si>
  <si>
    <t>Perform quarterly firewall rule review and baseline updates (CL‑002 Secure Configuration);
Enable firewall logging and integrate with SIEM (CL‑003 Logging &amp; Monitoring);
Update firewall firmware and patch vulnerabilities (CL‑004 Vulnerability Management)</t>
  </si>
  <si>
    <t>Add IDS tuning</t>
  </si>
  <si>
    <t>R‑004</t>
  </si>
  <si>
    <t>Implement drift monitoring dashboard (CL‑006 AI Risk Assessment);
Define and track fairness metrics (CL‑006 AI Risk Assessment);
Conduct quarterly human‑in‑the‑loop model review (CL‑007 Human Oversight)</t>
  </si>
  <si>
    <t>Needs monitoring tooling</t>
  </si>
  <si>
    <t>R-005</t>
  </si>
  <si>
    <t>Enforce MFA for all email accounts (CL‑001 Access Control);
Enable anti‑phishing and attachment scanning (CL‑003 Logging &amp; Monitoring);
Patch email clients and disable insecure plugins (CL‑004 Vulnerability Management);
Implement DLP rules for sensitive data (CL‑002 Secure Configuration)</t>
  </si>
  <si>
    <t xml:space="preserve">Add DMARC enforcement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</si>
</sst>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numFmts>
  <fonts count="17">
    <font>
      <sz val="11.0"/>
      <color theme="1"/>
      <name val="Calibri"/>
      <scheme val="minor"/>
    </font>
    <font>
      <b/>
      <sz val="16.0"/>
      <color theme="1"/>
      <name val="Calibri"/>
    </font>
    <font>
      <sz val="11.0"/>
      <color theme="1"/>
      <name val="Calibri"/>
    </font>
    <font>
      <color rgb="FFFFFFFF"/>
      <name val="Calibri"/>
      <scheme val="minor"/>
    </font>
    <font>
      <b/>
      <sz val="11.0"/>
      <color rgb="FFFFFFFF"/>
      <name val="Calibri"/>
    </font>
    <font>
      <b/>
      <sz val="12.0"/>
      <color rgb="FFFFFFFF"/>
      <name val="Calibri"/>
    </font>
    <font>
      <sz val="12.0"/>
      <color rgb="FF000000"/>
      <name val="Quattrocento Sans"/>
    </font>
    <font>
      <sz val="12.0"/>
      <color rgb="FF000000"/>
      <name val="Calibri"/>
    </font>
    <font/>
    <font>
      <b/>
      <sz val="11.0"/>
      <color theme="1"/>
      <name val="Calibri"/>
    </font>
    <font>
      <sz val="11.0"/>
      <color rgb="FF9C0006"/>
      <name val="Calibri"/>
    </font>
    <font>
      <sz val="11.0"/>
      <color rgb="FF9C5700"/>
      <name val="Calibri"/>
    </font>
    <font>
      <color theme="1"/>
      <name val="Calibri"/>
      <scheme val="minor"/>
    </font>
    <font>
      <b/>
      <sz val="11.0"/>
      <color rgb="FF000000"/>
      <name val="Calibri"/>
    </font>
    <font>
      <sz val="11.0"/>
      <color rgb="FF000000"/>
      <name val="Calibri"/>
    </font>
    <font>
      <b/>
      <sz val="15.0"/>
      <color theme="1"/>
      <name val="Calibri"/>
      <scheme val="minor"/>
    </font>
    <font>
      <b/>
      <color theme="1"/>
      <name val="Calibri"/>
      <scheme val="minor"/>
    </font>
  </fonts>
  <fills count="17">
    <fill>
      <patternFill patternType="none"/>
    </fill>
    <fill>
      <patternFill patternType="lightGray"/>
    </fill>
    <fill>
      <patternFill patternType="solid">
        <fgColor rgb="FFF8D7DA"/>
        <bgColor rgb="FFF8D7DA"/>
      </patternFill>
    </fill>
    <fill>
      <patternFill patternType="solid">
        <fgColor rgb="FFFF0000"/>
        <bgColor rgb="FFFF0000"/>
      </patternFill>
    </fill>
    <fill>
      <patternFill patternType="solid">
        <fgColor rgb="FFFFF3CD"/>
        <bgColor rgb="FFFFF3CD"/>
      </patternFill>
    </fill>
    <fill>
      <patternFill patternType="solid">
        <fgColor rgb="FFF1C232"/>
        <bgColor rgb="FFF1C232"/>
      </patternFill>
    </fill>
    <fill>
      <patternFill patternType="solid">
        <fgColor rgb="FFD4EDDA"/>
        <bgColor rgb="FFD4EDDA"/>
      </patternFill>
    </fill>
    <fill>
      <patternFill patternType="solid">
        <fgColor rgb="FF00FF00"/>
        <bgColor rgb="FF00FF00"/>
      </patternFill>
    </fill>
    <fill>
      <patternFill patternType="solid">
        <fgColor rgb="FF4472C4"/>
        <bgColor rgb="FF4472C4"/>
      </patternFill>
    </fill>
    <fill>
      <patternFill patternType="solid">
        <fgColor rgb="FFB4C6E7"/>
        <bgColor rgb="FFB4C6E7"/>
      </patternFill>
    </fill>
    <fill>
      <patternFill patternType="solid">
        <fgColor rgb="FFD9E2F3"/>
        <bgColor rgb="FFD9E2F3"/>
      </patternFill>
    </fill>
    <fill>
      <patternFill patternType="solid">
        <fgColor rgb="FFFFC7CE"/>
        <bgColor rgb="FFFFC7CE"/>
      </patternFill>
    </fill>
    <fill>
      <patternFill patternType="solid">
        <fgColor rgb="FFFFEB9C"/>
        <bgColor rgb="FFFFEB9C"/>
      </patternFill>
    </fill>
    <fill>
      <patternFill patternType="solid">
        <fgColor rgb="FFA9D08E"/>
        <bgColor rgb="FFA9D08E"/>
      </patternFill>
    </fill>
    <fill>
      <patternFill patternType="solid">
        <fgColor rgb="FFFFD966"/>
        <bgColor rgb="FFFFD966"/>
      </patternFill>
    </fill>
    <fill>
      <patternFill patternType="solid">
        <fgColor rgb="FFB4A7D6"/>
        <bgColor rgb="FFB4A7D6"/>
      </patternFill>
    </fill>
    <fill>
      <patternFill patternType="solid">
        <fgColor rgb="FFD9D2E9"/>
        <bgColor rgb="FFD9D2E9"/>
      </patternFill>
    </fill>
  </fills>
  <borders count="10">
    <border/>
    <border>
      <left/>
      <right/>
      <top/>
      <bottom/>
    </border>
    <border>
      <left style="medium">
        <color rgb="FFFFFFFF"/>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bottom style="medium">
        <color rgb="FFFFFFFF"/>
      </bottom>
    </border>
    <border>
      <left/>
      <right style="medium">
        <color rgb="FFFFFFFF"/>
      </right>
      <top/>
      <bottom style="medium">
        <color rgb="FFFFFFFF"/>
      </bottom>
    </border>
    <border>
      <left style="medium">
        <color rgb="FFFFFFFF"/>
      </left>
      <right style="medium">
        <color rgb="FFFFFFFF"/>
      </right>
      <top style="medium">
        <color rgb="FFFFFFFF"/>
      </top>
    </border>
    <border>
      <left/>
      <right style="medium">
        <color rgb="FFFFFFFF"/>
      </right>
      <top/>
      <bottom/>
    </border>
    <border>
      <left style="medium">
        <color rgb="FFFFFFFF"/>
      </left>
      <right style="medium">
        <color rgb="FFFFFFFF"/>
      </right>
      <bottom style="medium">
        <color rgb="FFFFFFFF"/>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center"/>
    </xf>
    <xf borderId="0" fillId="0" fontId="2" numFmtId="0" xfId="0" applyFont="1"/>
    <xf borderId="0" fillId="0" fontId="2" numFmtId="0" xfId="0" applyAlignment="1" applyFont="1">
      <alignment readingOrder="0"/>
    </xf>
    <xf borderId="0" fillId="0" fontId="2" numFmtId="0" xfId="0" applyAlignment="1" applyFont="1">
      <alignment readingOrder="0" shrinkToFit="0" wrapText="1"/>
    </xf>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readingOrder="0" shrinkToFit="0" wrapText="1"/>
    </xf>
    <xf borderId="1" fillId="2" fontId="2" numFmtId="0" xfId="0" applyAlignment="1" applyBorder="1" applyFill="1" applyFont="1">
      <alignment shrinkToFit="0" wrapText="1"/>
    </xf>
    <xf borderId="1" fillId="3" fontId="2" numFmtId="0" xfId="0" applyAlignment="1" applyBorder="1" applyFill="1" applyFont="1">
      <alignment shrinkToFit="0" wrapText="1"/>
    </xf>
    <xf borderId="1" fillId="2" fontId="2" numFmtId="0" xfId="0" applyAlignment="1" applyBorder="1" applyFont="1">
      <alignment readingOrder="0" shrinkToFit="0" wrapText="1"/>
    </xf>
    <xf borderId="1" fillId="4" fontId="2" numFmtId="0" xfId="0" applyAlignment="1" applyBorder="1" applyFill="1" applyFont="1">
      <alignment shrinkToFit="0" wrapText="1"/>
    </xf>
    <xf borderId="1" fillId="4" fontId="2" numFmtId="0" xfId="0" applyAlignment="1" applyBorder="1" applyFont="1">
      <alignment readingOrder="0" shrinkToFit="0" wrapText="1"/>
    </xf>
    <xf borderId="1" fillId="5" fontId="2" numFmtId="0" xfId="0" applyAlignment="1" applyBorder="1" applyFill="1" applyFont="1">
      <alignment shrinkToFit="0" wrapText="1"/>
    </xf>
    <xf borderId="1" fillId="6" fontId="2" numFmtId="0" xfId="0" applyAlignment="1" applyBorder="1" applyFill="1" applyFont="1">
      <alignment shrinkToFit="0" wrapText="1"/>
    </xf>
    <xf borderId="1" fillId="7" fontId="2" numFmtId="0" xfId="0" applyAlignment="1" applyBorder="1" applyFill="1" applyFont="1">
      <alignment shrinkToFit="0" wrapText="1"/>
    </xf>
    <xf borderId="1" fillId="6" fontId="2" numFmtId="0" xfId="0" applyAlignment="1" applyBorder="1" applyFont="1">
      <alignment readingOrder="0" shrinkToFit="0" wrapText="1"/>
    </xf>
    <xf borderId="2" fillId="8" fontId="5" numFmtId="0" xfId="0" applyAlignment="1" applyBorder="1" applyFill="1" applyFont="1">
      <alignment shrinkToFit="0" vertical="center" wrapText="1"/>
    </xf>
    <xf borderId="3" fillId="8" fontId="5" numFmtId="0" xfId="0" applyAlignment="1" applyBorder="1" applyFont="1">
      <alignment shrinkToFit="0" vertical="center" wrapText="1"/>
    </xf>
    <xf borderId="4" fillId="8" fontId="5" numFmtId="0" xfId="0" applyAlignment="1" applyBorder="1" applyFont="1">
      <alignment shrinkToFit="0" vertical="center" wrapText="1"/>
    </xf>
    <xf borderId="5" fillId="3" fontId="6" numFmtId="0" xfId="0" applyAlignment="1" applyBorder="1" applyFont="1">
      <alignment shrinkToFit="0" vertical="center" wrapText="1"/>
    </xf>
    <xf borderId="5" fillId="9" fontId="7" numFmtId="0" xfId="0" applyAlignment="1" applyBorder="1" applyFill="1" applyFont="1">
      <alignment shrinkToFit="0" vertical="center" wrapText="1"/>
    </xf>
    <xf borderId="5" fillId="5" fontId="6" numFmtId="0" xfId="0" applyAlignment="1" applyBorder="1" applyFont="1">
      <alignment shrinkToFit="0" vertical="center" wrapText="1"/>
    </xf>
    <xf borderId="5" fillId="10" fontId="7" numFmtId="0" xfId="0" applyAlignment="1" applyBorder="1" applyFill="1" applyFont="1">
      <alignment shrinkToFit="0" vertical="center" wrapText="1"/>
    </xf>
    <xf borderId="5" fillId="7" fontId="6" numFmtId="0" xfId="0" applyAlignment="1" applyBorder="1" applyFont="1">
      <alignment shrinkToFit="0" vertical="center" wrapText="1"/>
    </xf>
    <xf borderId="6" fillId="8" fontId="5" numFmtId="0" xfId="0" applyAlignment="1" applyBorder="1" applyFont="1">
      <alignment shrinkToFit="0" vertical="center" wrapText="1"/>
    </xf>
    <xf borderId="7" fillId="9" fontId="7" numFmtId="0" xfId="0" applyAlignment="1" applyBorder="1" applyFont="1">
      <alignment readingOrder="0" shrinkToFit="0" vertical="center" wrapText="1"/>
    </xf>
    <xf borderId="8" fillId="0" fontId="8" numFmtId="0" xfId="0" applyBorder="1" applyFont="1"/>
    <xf borderId="0" fillId="0" fontId="9" numFmtId="0" xfId="0" applyFont="1"/>
    <xf borderId="0" fillId="0" fontId="9"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borderId="1" fillId="11" fontId="10" numFmtId="0" xfId="0" applyBorder="1" applyFill="1" applyFont="1"/>
    <xf borderId="1" fillId="12" fontId="11" numFmtId="0" xfId="0" applyBorder="1" applyFill="1" applyFont="1"/>
    <xf borderId="0" fillId="0" fontId="2" numFmtId="0" xfId="0" applyAlignment="1" applyFont="1">
      <alignment horizontal="left" readingOrder="0" shrinkToFit="0" wrapText="1"/>
    </xf>
    <xf borderId="0" fillId="0" fontId="2" numFmtId="0" xfId="0" applyAlignment="1" applyFont="1">
      <alignment horizontal="left" shrinkToFit="0" wrapText="1"/>
    </xf>
    <xf borderId="1" fillId="11" fontId="10" numFmtId="0" xfId="0" applyAlignment="1" applyBorder="1" applyFont="1">
      <alignment readingOrder="0"/>
    </xf>
    <xf borderId="1" fillId="12" fontId="11" numFmtId="0" xfId="0" applyAlignment="1" applyBorder="1" applyFont="1">
      <alignment readingOrder="0"/>
    </xf>
    <xf borderId="0" fillId="0" fontId="12" numFmtId="0" xfId="0" applyAlignment="1" applyFont="1">
      <alignment readingOrder="0"/>
    </xf>
    <xf borderId="0" fillId="0" fontId="3" numFmtId="0" xfId="0" applyFont="1"/>
    <xf borderId="0" fillId="0" fontId="2" numFmtId="0" xfId="0" applyFont="1"/>
    <xf borderId="0" fillId="0" fontId="12" numFmtId="0" xfId="0" applyFont="1"/>
    <xf borderId="0" fillId="0" fontId="12" numFmtId="0" xfId="0" applyAlignment="1" applyFont="1">
      <alignment shrinkToFit="0" wrapText="1"/>
    </xf>
    <xf borderId="0" fillId="0" fontId="13" numFmtId="0" xfId="0" applyAlignment="1" applyFont="1">
      <alignment readingOrder="0" shrinkToFit="0" vertical="bottom" wrapText="1"/>
    </xf>
    <xf borderId="0" fillId="0" fontId="14" numFmtId="0" xfId="0" applyAlignment="1" applyFont="1">
      <alignment horizontal="right" readingOrder="0" shrinkToFit="0" vertical="bottom" wrapText="1"/>
    </xf>
    <xf borderId="0" fillId="0" fontId="13" numFmtId="0" xfId="0" applyAlignment="1" applyFont="1">
      <alignment readingOrder="0" shrinkToFit="0" vertical="bottom" wrapText="0"/>
    </xf>
    <xf borderId="0" fillId="0" fontId="14" numFmtId="0" xfId="0" applyAlignment="1" applyFont="1">
      <alignment shrinkToFit="0" vertical="bottom" wrapText="0"/>
    </xf>
    <xf borderId="0" fillId="13" fontId="14" numFmtId="0" xfId="0" applyAlignment="1" applyFill="1" applyFont="1">
      <alignment horizontal="center" readingOrder="0" shrinkToFit="0" wrapText="1"/>
    </xf>
    <xf borderId="0" fillId="14" fontId="14" numFmtId="0" xfId="0" applyAlignment="1" applyFill="1" applyFont="1">
      <alignment horizontal="center" readingOrder="0" shrinkToFit="0" wrapText="1"/>
    </xf>
    <xf borderId="0" fillId="3" fontId="14" numFmtId="0" xfId="0" applyAlignment="1" applyFont="1">
      <alignment horizontal="center" readingOrder="0" shrinkToFit="0" wrapText="1"/>
    </xf>
    <xf borderId="0" fillId="0" fontId="14" numFmtId="0" xfId="0" applyAlignment="1" applyFont="1">
      <alignment horizontal="left" readingOrder="0" shrinkToFit="0" vertical="bottom" wrapText="0"/>
    </xf>
    <xf borderId="0" fillId="0" fontId="14" numFmtId="0" xfId="0" applyAlignment="1" applyFont="1">
      <alignment readingOrder="0" shrinkToFit="0" vertical="bottom" wrapText="0"/>
    </xf>
    <xf borderId="0" fillId="3" fontId="14" numFmtId="0" xfId="0" applyAlignment="1" applyFont="1">
      <alignment readingOrder="0" shrinkToFit="0" vertical="bottom" wrapText="0"/>
    </xf>
    <xf borderId="0" fillId="0" fontId="14" numFmtId="164" xfId="0" applyAlignment="1" applyFont="1" applyNumberFormat="1">
      <alignment horizontal="left" readingOrder="0" shrinkToFit="0" vertical="bottom" wrapText="0"/>
    </xf>
    <xf borderId="0" fillId="14" fontId="14" numFmtId="0" xfId="0" applyAlignment="1" applyFont="1">
      <alignment readingOrder="0" shrinkToFit="0" vertical="bottom" wrapText="0"/>
    </xf>
    <xf borderId="0" fillId="13" fontId="14" numFmtId="0" xfId="0" applyAlignment="1" applyFont="1">
      <alignment readingOrder="0" shrinkToFit="0" vertical="bottom" wrapText="0"/>
    </xf>
    <xf borderId="0" fillId="0" fontId="14" numFmtId="0" xfId="0" applyAlignment="1" applyFont="1">
      <alignment shrinkToFit="0" vertical="bottom" wrapText="1"/>
    </xf>
    <xf borderId="0" fillId="0" fontId="12" numFmtId="0" xfId="0" applyAlignment="1" applyFont="1">
      <alignment readingOrder="0" shrinkToFit="0" wrapText="1"/>
    </xf>
    <xf borderId="0" fillId="0" fontId="2" numFmtId="0" xfId="0" applyAlignment="1" applyFont="1">
      <alignment readingOrder="0"/>
    </xf>
    <xf borderId="0" fillId="0" fontId="14" numFmtId="0" xfId="0" applyAlignment="1" applyFont="1">
      <alignment horizontal="center" readingOrder="0" vertical="bottom"/>
    </xf>
    <xf borderId="0" fillId="0" fontId="14" numFmtId="0" xfId="0" applyAlignment="1" applyFont="1">
      <alignment readingOrder="0" vertical="bottom"/>
    </xf>
    <xf borderId="0" fillId="0" fontId="14" numFmtId="0" xfId="0" applyAlignment="1" applyFont="1">
      <alignment horizontal="right" readingOrder="0" vertical="bottom"/>
    </xf>
    <xf borderId="9" fillId="0" fontId="13" numFmtId="0" xfId="0" applyAlignment="1" applyBorder="1" applyFont="1">
      <alignment horizontal="center" readingOrder="0" shrinkToFit="0" vertical="top" wrapText="0"/>
    </xf>
    <xf borderId="0" fillId="0" fontId="14" numFmtId="0" xfId="0" applyAlignment="1" applyFont="1">
      <alignment horizontal="right" readingOrder="0" shrinkToFit="0" vertical="bottom" wrapText="0"/>
    </xf>
    <xf borderId="0" fillId="0" fontId="15" numFmtId="0" xfId="0" applyAlignment="1" applyFont="1">
      <alignment readingOrder="0"/>
    </xf>
    <xf borderId="9" fillId="0" fontId="13" numFmtId="0" xfId="0" applyAlignment="1" applyBorder="1" applyFont="1">
      <alignment horizontal="center" readingOrder="0" shrinkToFit="0" vertical="top" wrapText="0"/>
    </xf>
    <xf borderId="9" fillId="0" fontId="13" numFmtId="0" xfId="0" applyAlignment="1" applyBorder="1" applyFont="1">
      <alignment horizontal="center" readingOrder="0" shrinkToFit="0" vertical="top" wrapText="1"/>
    </xf>
    <xf borderId="0" fillId="0" fontId="14" numFmtId="0" xfId="0" applyAlignment="1" applyFont="1">
      <alignment horizontal="right" readingOrder="0" shrinkToFit="0" vertical="bottom" wrapText="1"/>
    </xf>
    <xf borderId="0" fillId="0" fontId="14" numFmtId="0" xfId="0" applyAlignment="1" applyFont="1">
      <alignment readingOrder="0" shrinkToFit="0" vertical="bottom" wrapText="1"/>
    </xf>
    <xf borderId="0" fillId="0" fontId="12" numFmtId="0" xfId="0" applyAlignment="1" applyFont="1">
      <alignment shrinkToFit="0" wrapText="1"/>
    </xf>
    <xf borderId="0" fillId="0" fontId="14" numFmtId="0" xfId="0" applyAlignment="1" applyFont="1">
      <alignment horizontal="center" readingOrder="0" shrinkToFit="0" vertical="bottom" wrapText="1"/>
    </xf>
    <xf borderId="0" fillId="0" fontId="12" numFmtId="0" xfId="0" applyFont="1"/>
    <xf borderId="0" fillId="0" fontId="12" numFmtId="14" xfId="0" applyAlignment="1" applyFont="1" applyNumberFormat="1">
      <alignment readingOrder="0"/>
    </xf>
    <xf borderId="0" fillId="0" fontId="12" numFmtId="0" xfId="0" applyAlignment="1" applyFont="1">
      <alignment readingOrder="0" shrinkToFit="0" wrapText="1"/>
    </xf>
    <xf borderId="0" fillId="0" fontId="2" numFmtId="14" xfId="0" applyAlignment="1" applyFont="1" applyNumberFormat="1">
      <alignment readingOrder="0" shrinkToFit="0" wrapText="1"/>
    </xf>
    <xf borderId="0" fillId="0" fontId="2" numFmtId="14" xfId="0" applyAlignment="1" applyFont="1" applyNumberFormat="1">
      <alignment shrinkToFit="0" wrapText="1"/>
    </xf>
    <xf borderId="0" fillId="0" fontId="12" numFmtId="165" xfId="0" applyAlignment="1" applyFont="1" applyNumberFormat="1">
      <alignment readingOrder="0"/>
    </xf>
    <xf borderId="0" fillId="0" fontId="2" numFmtId="165" xfId="0" applyAlignment="1" applyFont="1" applyNumberFormat="1">
      <alignment readingOrder="0" shrinkToFit="0" wrapText="1"/>
    </xf>
    <xf borderId="0" fillId="0" fontId="3" numFmtId="0" xfId="0" applyAlignment="1" applyFont="1">
      <alignment readingOrder="0"/>
    </xf>
    <xf borderId="0" fillId="15" fontId="16" numFmtId="0" xfId="0" applyAlignment="1" applyFill="1" applyFont="1">
      <alignment horizontal="center" readingOrder="0" shrinkToFit="0" wrapText="1"/>
    </xf>
    <xf borderId="0" fillId="16" fontId="12" numFmtId="0" xfId="0" applyAlignment="1" applyFill="1" applyFont="1">
      <alignment readingOrder="0" shrinkToFit="0" wrapText="1"/>
    </xf>
    <xf borderId="0" fillId="16" fontId="12" numFmtId="165" xfId="0" applyAlignment="1" applyFont="1" applyNumberFormat="1">
      <alignment readingOrder="0" shrinkToFit="0" wrapText="1"/>
    </xf>
    <xf borderId="0" fillId="16" fontId="12" numFmtId="0" xfId="0" applyAlignment="1" applyFont="1">
      <alignment readingOrder="0" shrinkToFit="0" wrapText="1"/>
    </xf>
  </cellXfs>
  <cellStyles count="1">
    <cellStyle xfId="0" name="Normal" builtinId="0"/>
  </cellStyles>
  <dxfs count="11">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theme="7"/>
          <bgColor theme="7"/>
        </patternFill>
      </fill>
      <border/>
    </dxf>
    <dxf>
      <font/>
      <fill>
        <patternFill patternType="solid">
          <fgColor rgb="FFCCC0D9"/>
          <bgColor rgb="FFCCC0D9"/>
        </patternFill>
      </fill>
      <border/>
    </dxf>
    <dxf>
      <font/>
      <fill>
        <patternFill patternType="solid">
          <fgColor rgb="FFE5DFEC"/>
          <bgColor rgb="FFE5DFEC"/>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4DD0E1"/>
          <bgColor rgb="FF4DD0E1"/>
        </patternFill>
      </fill>
      <border/>
    </dxf>
    <dxf>
      <font/>
      <fill>
        <patternFill patternType="solid">
          <fgColor rgb="FFE0F7FA"/>
          <bgColor rgb="FFE0F7FA"/>
        </patternFill>
      </fill>
      <border/>
    </dxf>
  </dxfs>
  <tableStyles count="12">
    <tableStyle count="3" pivot="0" name="Asset Inventory-style">
      <tableStyleElement dxfId="1" type="headerRow"/>
      <tableStyleElement dxfId="2" type="firstRowStripe"/>
      <tableStyleElement dxfId="3" type="secondRowStripe"/>
    </tableStyle>
    <tableStyle count="3" pivot="0" name="Risk Mapping-style">
      <tableStyleElement dxfId="1" type="headerRow"/>
      <tableStyleElement dxfId="2" type="firstRowStripe"/>
      <tableStyleElement dxfId="3" type="secondRowStripe"/>
    </tableStyle>
    <tableStyle count="3" pivot="0" name="Risk Mapping-style 2">
      <tableStyleElement dxfId="1" type="headerRow"/>
      <tableStyleElement dxfId="2" type="firstRowStripe"/>
      <tableStyleElement dxfId="3" type="secondRowStripe"/>
    </tableStyle>
    <tableStyle count="3" pivot="0" name="Heat Map Risks-style">
      <tableStyleElement dxfId="4" type="headerRow"/>
      <tableStyleElement dxfId="5" type="firstRowStripe"/>
      <tableStyleElement dxfId="6" type="secondRowStripe"/>
    </tableStyle>
    <tableStyle count="3" pivot="0" name="Heat Map dashboard-style">
      <tableStyleElement dxfId="1" type="headerRow"/>
      <tableStyleElement dxfId="2" type="firstRowStripe"/>
      <tableStyleElement dxfId="3" type="secondRowStripe"/>
    </tableStyle>
    <tableStyle count="3" pivot="0" name="Control Library-style">
      <tableStyleElement dxfId="4" type="headerRow"/>
      <tableStyleElement dxfId="5" type="firstRowStripe"/>
      <tableStyleElement dxfId="6" type="secondRowStripe"/>
    </tableStyle>
    <tableStyle count="3" pivot="0" name="Control Rubrics-style">
      <tableStyleElement dxfId="7" type="headerRow"/>
      <tableStyleElement dxfId="2" type="firstRowStripe"/>
      <tableStyleElement dxfId="8" type="secondRowStripe"/>
    </tableStyle>
    <tableStyle count="3" pivot="0" name="Control Rubrics-style 2">
      <tableStyleElement dxfId="9" type="headerRow"/>
      <tableStyleElement dxfId="2" type="firstRowStripe"/>
      <tableStyleElement dxfId="10" type="secondRowStripe"/>
    </tableStyle>
    <tableStyle count="3" pivot="0" name="Maturity Dashboard-style">
      <tableStyleElement dxfId="1" type="headerRow"/>
      <tableStyleElement dxfId="2" type="firstRowStripe"/>
      <tableStyleElement dxfId="3" type="secondRowStripe"/>
    </tableStyle>
    <tableStyle count="3" pivot="0" name="Certification readiness tracker-style">
      <tableStyleElement dxfId="1" type="headerRow"/>
      <tableStyleElement dxfId="2" type="firstRowStripe"/>
      <tableStyleElement dxfId="3" type="secondRowStripe"/>
    </tableStyle>
    <tableStyle count="3" pivot="0" name="AI System Inventory-style">
      <tableStyleElement dxfId="1" type="headerRow"/>
      <tableStyleElement dxfId="2" type="firstRowStripe"/>
      <tableStyleElement dxfId="3" type="secondRowStripe"/>
    </tableStyle>
    <tableStyle count="3" pivot="0" name="Risk Treatment Pla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5" sheet="Heat Map Risks"/>
  </cacheSource>
  <cacheFields>
    <cacheField name="Risk ID" numFmtId="0">
      <sharedItems>
        <s v="R-001"/>
        <s v="R-002"/>
        <s v="R-003"/>
        <s v="R-004"/>
      </sharedItems>
    </cacheField>
    <cacheField name="Asset" numFmtId="0">
      <sharedItems>
        <s v="Multicloud"/>
        <s v="CRM"/>
        <s v="Firewalls"/>
        <s v="AI Fraud Model"/>
      </sharedItems>
    </cacheField>
    <cacheField name="Risk Description" numFmtId="0">
      <sharedItems>
        <s v="Misconfiguration leads to breach"/>
        <s v="Unauthorized access"/>
        <s v="Rule misconfig allows intrusion"/>
        <s v="Bias or drift"/>
      </sharedItems>
    </cacheField>
    <cacheField name="Inherent Likelihood" numFmtId="0">
      <sharedItems containsSemiMixedTypes="0" containsString="0" containsNumber="1" containsInteger="1">
        <n v="5.0"/>
        <n v="4.0"/>
      </sharedItems>
    </cacheField>
    <cacheField name="Inherent Impact" numFmtId="0">
      <sharedItems containsSemiMixedTypes="0" containsString="0" containsNumber="1" containsInteger="1">
        <n v="5.0"/>
        <n v="4.0"/>
      </sharedItems>
    </cacheField>
    <cacheField name="Inherent Score" numFmtId="0">
      <sharedItems containsSemiMixedTypes="0" containsString="0" containsNumber="1" containsInteger="1">
        <n v="25.0"/>
        <n v="20.0"/>
      </sharedItems>
    </cacheField>
    <cacheField name="Residual Likelihood" numFmtId="0">
      <sharedItems containsSemiMixedTypes="0" containsString="0" containsNumber="1" containsInteger="1">
        <n v="3.0"/>
        <n v="2.0"/>
      </sharedItems>
    </cacheField>
    <cacheField name="Residual Impact" numFmtId="0">
      <sharedItems containsSemiMixedTypes="0" containsString="0" containsNumber="1" containsInteger="1">
        <n v="4.0"/>
        <n v="3.0"/>
      </sharedItems>
    </cacheField>
    <cacheField name="Residual Score" numFmtId="0">
      <sharedItems containsSemiMixedTypes="0" containsString="0" containsNumber="1" containsInteger="1">
        <n v="12.0"/>
        <n v="8.0"/>
        <n v="9.0"/>
      </sharedItems>
    </cacheField>
    <cacheField name="Owner" numFmtId="0">
      <sharedItems>
        <s v="Cloud"/>
        <s v="Sales"/>
        <s v="Security"/>
        <s v="AI Governance"/>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8" sheet="Maturity Pivot Source"/>
  </cacheSource>
  <cacheFields>
    <cacheField name="Control ID" numFmtId="0">
      <sharedItems>
        <s v="CL-001"/>
        <s v="CL-002"/>
        <s v="CL-003"/>
        <s v="CL-004"/>
        <s v="CL-005"/>
        <s v="CL-006"/>
        <s v="CL-007"/>
      </sharedItems>
    </cacheField>
    <cacheField name="Control Name" numFmtId="0">
      <sharedItems>
        <s v="Access Control"/>
        <s v="Secure Configuration"/>
        <s v="Logging &amp; Monitoring"/>
        <s v="Vulnerability Management"/>
        <s v="Backup &amp; Recovery"/>
        <s v="AI Risk Assessment"/>
        <s v="Human Oversight"/>
      </sharedItems>
    </cacheField>
    <cacheField name="Control Owner" numFmtId="0">
      <sharedItems>
        <s v="IT Security"/>
        <s v="IT Ops"/>
        <s v="Security"/>
        <s v="AI Governance"/>
        <s v="Product"/>
      </sharedItems>
    </cacheField>
    <cacheField name="Applies To Asset" numFmtId="0">
      <sharedItems>
        <s v="Corporate Laptops"/>
        <s v="Cloud"/>
        <s v="All Assets"/>
        <s v="Backup Systems"/>
        <s v="AI Systems"/>
      </sharedItems>
    </cacheField>
    <cacheField name="Control Maturity" numFmtId="0">
      <sharedItems containsSemiMixedTypes="0" containsString="0" containsNumber="1" containsInteger="1">
        <n v="4.0"/>
        <n v="3.0"/>
      </sharedItems>
    </cacheField>
    <cacheField name="Evidence Maturity" numFmtId="0">
      <sharedItems containsSemiMixedTypes="0" containsString="0" containsNumber="1" containsInteger="1">
        <n v="4.0"/>
        <n v="3.0"/>
        <n v="2.0"/>
      </sharedItems>
    </cacheField>
    <cacheField name="Combined Score" numFmtId="0">
      <sharedItems containsSemiMixedTypes="0" containsString="0" containsNumber="1">
        <n v="4.0"/>
        <n v="3.0"/>
        <n v="2.5"/>
        <n v="3.5"/>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Heat Map dashboard" cacheId="0" dataCaption="" compact="0" compactData="0">
  <location ref="A1:E6" firstHeaderRow="0" firstDataRow="2" firstDataCol="0"/>
  <pivotFields>
    <pivotField name="Risk ID" compact="0" outline="0" multipleItemSelectionAllowed="1" showAll="0">
      <items>
        <item x="0"/>
        <item x="1"/>
        <item x="2"/>
        <item x="3"/>
        <item t="default"/>
      </items>
    </pivotField>
    <pivotField name="Asset" compact="0" outline="0" multipleItemSelectionAllowed="1" showAll="0">
      <items>
        <item x="0"/>
        <item x="1"/>
        <item x="2"/>
        <item x="3"/>
        <item t="default"/>
      </items>
    </pivotField>
    <pivotField name="Risk Description" compact="0" outline="0" multipleItemSelectionAllowed="1" showAll="0">
      <items>
        <item x="0"/>
        <item x="1"/>
        <item x="2"/>
        <item x="3"/>
        <item t="default"/>
      </items>
    </pivotField>
    <pivotField name="Inherent Likelihood" dataField="1" compact="0" outline="0" multipleItemSelectionAllowed="1" showAll="0">
      <items>
        <item x="0"/>
        <item x="1"/>
        <item t="default"/>
      </items>
    </pivotField>
    <pivotField name="Inherent Impact" dataField="1" compact="0" outline="0" multipleItemSelectionAllowed="1" showAll="0">
      <items>
        <item x="0"/>
        <item x="1"/>
        <item t="default"/>
      </items>
    </pivotField>
    <pivotField name="Inherent Score" compact="0" outline="0" multipleItemSelectionAllowed="1" showAll="0">
      <items>
        <item x="0"/>
        <item x="1"/>
        <item t="default"/>
      </items>
    </pivotField>
    <pivotField name="Residual Likelihood" dataField="1" compact="0" outline="0" multipleItemSelectionAllowed="1" showAll="0">
      <items>
        <item x="0"/>
        <item x="1"/>
        <item t="default"/>
      </items>
    </pivotField>
    <pivotField name="Residual Impact" dataField="1" compact="0" outline="0" multipleItemSelectionAllowed="1" showAll="0">
      <items>
        <item x="0"/>
        <item x="1"/>
        <item t="default"/>
      </items>
    </pivotField>
    <pivotField name="Residual Score" compact="0" outline="0" multipleItemSelectionAllowed="1" showAll="0">
      <items>
        <item x="0"/>
        <item x="1"/>
        <item x="2"/>
        <item t="default"/>
      </items>
    </pivotField>
    <pivotField name="Owner" axis="axisRow" compact="0" outline="0" multipleItemSelectionAllowed="1" showAll="0" sortType="ascending">
      <items>
        <item x="3"/>
        <item x="0"/>
        <item x="1"/>
        <item x="2"/>
        <item t="default"/>
      </items>
    </pivotField>
  </pivotFields>
  <rowFields>
    <field x="9"/>
  </rowFields>
  <colFields>
    <field x="-2"/>
  </colFields>
  <dataFields>
    <dataField name="SUM of Inherent Likelihood" fld="3" baseField="0"/>
    <dataField name="SUM of Inherent Impact" fld="4" baseField="0"/>
    <dataField name="SUM of Residual Likelihood" fld="6" baseField="0"/>
    <dataField name="SUM of Residual Impact" fld="7" baseField="0"/>
  </dataFields>
</pivotTableDefinition>
</file>

<file path=xl/pivotTables/pivotTable2.xml><?xml version="1.0" encoding="utf-8"?>
<pivotTableDefinition xmlns="http://schemas.openxmlformats.org/spreadsheetml/2006/main" name="Maturity Dashboard" cacheId="1" dataCaption="" compact="0" compactData="0">
  <location ref="A1:B7" firstHeaderRow="0" firstDataRow="1" firstDataCol="0"/>
  <pivotFields>
    <pivotField name="Control ID" compact="0" outline="0" multipleItemSelectionAllowed="1" showAll="0">
      <items>
        <item x="0"/>
        <item x="1"/>
        <item x="2"/>
        <item x="3"/>
        <item x="4"/>
        <item x="5"/>
        <item x="6"/>
        <item t="default"/>
      </items>
    </pivotField>
    <pivotField name="Control Name" compact="0" outline="0" multipleItemSelectionAllowed="1" showAll="0">
      <items>
        <item x="0"/>
        <item x="1"/>
        <item x="2"/>
        <item x="3"/>
        <item x="4"/>
        <item x="5"/>
        <item x="6"/>
        <item t="default"/>
      </items>
    </pivotField>
    <pivotField name="Control Owner" axis="axisRow" compact="0" outline="0" multipleItemSelectionAllowed="1" showAll="0" sortType="ascending">
      <items>
        <item x="3"/>
        <item x="1"/>
        <item x="0"/>
        <item x="4"/>
        <item x="2"/>
        <item t="default"/>
      </items>
    </pivotField>
    <pivotField name="Applies To Asset" compact="0" outline="0" multipleItemSelectionAllowed="1" showAll="0">
      <items>
        <item x="0"/>
        <item x="1"/>
        <item x="2"/>
        <item x="3"/>
        <item x="4"/>
        <item t="default"/>
      </items>
    </pivotField>
    <pivotField name="Control Maturity" compact="0" outline="0" multipleItemSelectionAllowed="1" showAll="0">
      <items>
        <item x="0"/>
        <item x="1"/>
        <item t="default"/>
      </items>
    </pivotField>
    <pivotField name="Evidence Maturity" compact="0" outline="0" multipleItemSelectionAllowed="1" showAll="0">
      <items>
        <item x="0"/>
        <item x="1"/>
        <item x="2"/>
        <item t="default"/>
      </items>
    </pivotField>
    <pivotField name="Combined Score" dataField="1" compact="0" outline="0" multipleItemSelectionAllowed="1" showAll="0">
      <items>
        <item x="0"/>
        <item x="1"/>
        <item x="2"/>
        <item x="3"/>
        <item t="default"/>
      </items>
    </pivotField>
  </pivotFields>
  <rowFields>
    <field x="2"/>
  </rowFields>
  <dataFields>
    <dataField name="AVERAGE of Combined Score" fld="6" subtotal="average" baseField="0"/>
  </dataFields>
</pivotTableDefinition>
</file>

<file path=xl/tables/table1.xml><?xml version="1.0" encoding="utf-8"?>
<table xmlns="http://schemas.openxmlformats.org/spreadsheetml/2006/main" ref="A1:N11" displayName="Table_1" name="Table_1" id="1">
  <tableColumns count="14">
    <tableColumn name="SN" id="1"/>
    <tableColumn name="Information Asset" id="2"/>
    <tableColumn name="Description" id="3"/>
    <tableColumn name="Type" id="4"/>
    <tableColumn name="Classification" id="5"/>
    <tableColumn name="Asset Owner" id="6"/>
    <tableColumn name="Asset Custodian" id="7"/>
    <tableColumn name="Physical/Logical Location" id="8"/>
    <tableColumn name="Department" id="9"/>
    <tableColumn name="Legally Required?" id="10"/>
    <tableColumn name="Value (Financial)" id="11"/>
    <tableColumn name="Retention" id="12"/>
    <tableColumn name="ISO 27001 Clause" id="13"/>
    <tableColumn name="NIST CSF Function/Category" id="14"/>
  </tableColumns>
  <tableStyleInfo name="Asset Inventory-style" showColumnStripes="0" showFirstColumn="1" showLastColumn="1" showRowStripes="1"/>
</table>
</file>

<file path=xl/tables/table2.xml><?xml version="1.0" encoding="utf-8"?>
<table xmlns="http://schemas.openxmlformats.org/spreadsheetml/2006/main" ref="A1:E11" displayName="Table_2" name="Table_2" id="2">
  <tableColumns count="5">
    <tableColumn name="Asset" id="1"/>
    <tableColumn name="Mapped Controls" id="2"/>
    <tableColumn name="Threats" id="3"/>
    <tableColumn name="Vulnerabilities" id="4"/>
    <tableColumn name="Controls" id="5"/>
  </tableColumns>
  <tableStyleInfo name="Risk Mapping-style" showColumnStripes="0" showFirstColumn="1" showLastColumn="1" showRowStripes="1"/>
</table>
</file>

<file path=xl/tables/table3.xml><?xml version="1.0" encoding="utf-8"?>
<table xmlns="http://schemas.openxmlformats.org/spreadsheetml/2006/main" headerRowCount="0" ref="F1:G1" displayName="Table_3" name="Table_3" id="3">
  <tableColumns count="2">
    <tableColumn name="Column1" id="1"/>
    <tableColumn name="Column2" id="2"/>
  </tableColumns>
  <tableStyleInfo name="Risk Mapping-style 2"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ref="A1:J5" displayName="Table_4" name="Table_4" id="4">
  <tableColumns count="10">
    <tableColumn name="Risk ID" id="1"/>
    <tableColumn name="Asset" id="2"/>
    <tableColumn name="Risk Description" id="3"/>
    <tableColumn name="Inherent Likelihood" id="4"/>
    <tableColumn name="Inherent Impact" id="5"/>
    <tableColumn name="Inherent Score" id="6"/>
    <tableColumn name="Residual Likelihood" id="7"/>
    <tableColumn name="Residual Impact" id="8"/>
    <tableColumn name="Residual Score" id="9"/>
    <tableColumn name="Owner" id="10"/>
  </tableColumns>
  <tableStyleInfo name="Heat Map Risks-style" showColumnStripes="0" showFirstColumn="1" showLastColumn="1" showRowStripes="1"/>
</table>
</file>

<file path=xl/tables/table5.xml><?xml version="1.0" encoding="utf-8"?>
<table xmlns="http://schemas.openxmlformats.org/spreadsheetml/2006/main" ref="A1:E6" displayName="Table_5" name="Table_5" id="5">
  <tableColumns count="5">
    <tableColumn name="Owner" id="1"/>
    <tableColumn name="SUM of Inherent Likelihood" id="2"/>
    <tableColumn name="SUM of Inherent Impact" id="3"/>
    <tableColumn name="SUM of Residual Likelihood" id="4"/>
    <tableColumn name="SUM of Residual Impact" id="5"/>
  </tableColumns>
  <tableStyleInfo name="Heat Map dashboard-style" showColumnStripes="0" showFirstColumn="1" showLastColumn="1" showRowStripes="1"/>
</table>
</file>

<file path=xl/tables/table6.xml><?xml version="1.0" encoding="utf-8"?>
<table xmlns="http://schemas.openxmlformats.org/spreadsheetml/2006/main" ref="A1:N9" displayName="Table_6" name="Table_6" id="6">
  <tableColumns count="14">
    <tableColumn name="Control ID" id="1"/>
    <tableColumn name="Control Name" id="2"/>
    <tableColumn name="Control Description" id="3"/>
    <tableColumn name="Control Type" id="4"/>
    <tableColumn name="ISO 27001 Clauses" id="5"/>
    <tableColumn name="ISO 42001 Clauses" id="6"/>
    <tableColumn name="NIST CSF Mapping" id="7"/>
    <tableColumn name="Applies To Assets" id="8"/>
    <tableColumn name="Evidence Required" id="9"/>
    <tableColumn name="Control Owner" id="10"/>
    <tableColumn name="Implementation Status" id="11"/>
    <tableColumn name="Control Maturity" id="12"/>
    <tableColumn name="Evidence Maturity" id="13"/>
    <tableColumn name="Notes" id="14"/>
  </tableColumns>
  <tableStyleInfo name="Control Library-style" showColumnStripes="0" showFirstColumn="1" showLastColumn="1" showRowStripes="1"/>
</table>
</file>

<file path=xl/tables/table7.xml><?xml version="1.0" encoding="utf-8"?>
<table xmlns="http://schemas.openxmlformats.org/spreadsheetml/2006/main" ref="A2:C7" displayName="Table_7" name="Table_7" id="7">
  <tableColumns count="3">
    <tableColumn name="Level" id="1"/>
    <tableColumn name="Label" id="2"/>
    <tableColumn name="Description" id="3"/>
  </tableColumns>
  <tableStyleInfo name="Control Rubrics-style" showColumnStripes="0" showFirstColumn="1" showLastColumn="1" showRowStripes="1"/>
</table>
</file>

<file path=xl/tables/table8.xml><?xml version="1.0" encoding="utf-8"?>
<table xmlns="http://schemas.openxmlformats.org/spreadsheetml/2006/main" ref="E2:G7" displayName="Table_8" name="Table_8" id="8">
  <tableColumns count="3">
    <tableColumn name="Level" id="1"/>
    <tableColumn name="Label" id="2"/>
    <tableColumn name="Description" id="3"/>
  </tableColumns>
  <tableStyleInfo name="Control Rubrics-style 2" showColumnStripes="0" showFirstColumn="1" showLastColumn="1" showRowStripes="1"/>
</table>
</file>

<file path=xl/tables/table9.xml><?xml version="1.0" encoding="utf-8"?>
<table xmlns="http://schemas.openxmlformats.org/spreadsheetml/2006/main" ref="A1:B6" displayName="Table_9" name="Table_9" id="9">
  <tableColumns count="2">
    <tableColumn name="Control Owner" id="1"/>
    <tableColumn name="AVERAGE of Combined Score" id="2"/>
  </tableColumns>
  <tableStyleInfo name="Maturity Dashboard-style" showColumnStripes="0" showFirstColumn="1" showLastColumn="1" showRowStripes="1"/>
</table>
</file>

<file path=xl/tables/table10.xml><?xml version="1.0" encoding="utf-8"?>
<table xmlns="http://schemas.openxmlformats.org/spreadsheetml/2006/main" ref="A1:I19" displayName="Table_10" name="Table_10" id="10">
  <tableColumns count="9">
    <tableColumn name="Standard" id="1"/>
    <tableColumn name="Clause ID" id="2"/>
    <tableColumn name="Clause Title" id="3"/>
    <tableColumn name="Requirement Summary" id="4"/>
    <tableColumn name="Evidence Required" id="5"/>
    <tableColumn name="Evidence Owner" id="6"/>
    <tableColumn name="Status" id="7"/>
    <tableColumn name="Last Updated" id="8"/>
    <tableColumn name="Notes" id="9"/>
  </tableColumns>
  <tableStyleInfo name="Certification readiness tracker-style" showColumnStripes="0" showFirstColumn="1" showLastColumn="1" showRowStripes="1"/>
</table>
</file>

<file path=xl/tables/table11.xml><?xml version="1.0" encoding="utf-8"?>
<table xmlns="http://schemas.openxmlformats.org/spreadsheetml/2006/main" ref="A1:M5" displayName="Table_11" name="Table_11" id="11">
  <tableColumns count="13">
    <tableColumn name="AI System ID" id="1"/>
    <tableColumn name="AI System Name" id="2"/>
    <tableColumn name="Purpose" id="3"/>
    <tableColumn name="AI Type" id="4"/>
    <tableColumn name="Risk Level" id="5"/>
    <tableColumn name="Data Inputs" id="6"/>
    <tableColumn name="Data Outputs" id="7"/>
    <tableColumn name="Human Oversight" id="8"/>
    <tableColumn name="Monitoring" id="9"/>
    <tableColumn name="Third-Party?" id="10"/>
    <tableColumn name="Evidence Required" id="11"/>
    <tableColumn name="Owner" id="12"/>
    <tableColumn name="Lifecycle Stage" id="13"/>
  </tableColumns>
  <tableStyleInfo name="AI System Inventory-style" showColumnStripes="0" showFirstColumn="1" showLastColumn="1" showRowStripes="1"/>
</table>
</file>

<file path=xl/tables/table12.xml><?xml version="1.0" encoding="utf-8"?>
<table xmlns="http://schemas.openxmlformats.org/spreadsheetml/2006/main" ref="A1:K6" displayName="Table_12" name="Table_12" id="12">
  <tableColumns count="11">
    <tableColumn name="Risk ID" id="1"/>
    <tableColumn name="Asset" id="2"/>
    <tableColumn name="Risk Description" id="3"/>
    <tableColumn name="Inherent Score" id="4"/>
    <tableColumn name="Treatment Option" id="5"/>
    <tableColumn name="Treatment Actions" id="6"/>
    <tableColumn name="Control Owner" id="7"/>
    <tableColumn name="Due Date" id="8"/>
    <tableColumn name="Status" id="9"/>
    <tableColumn name="Residual Score" id="10"/>
    <tableColumn name="Notes" id="11"/>
  </tableColumns>
  <tableStyleInfo name="Risk Treatment Pl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4" Type="http://schemas.openxmlformats.org/officeDocument/2006/relationships/table" Target="../tables/table7.xml"/><Relationship Id="rId5"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0.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43.86"/>
    <col customWidth="1" min="4" max="6" width="8.71"/>
    <col customWidth="1" min="7" max="7" width="33.57"/>
    <col customWidth="1" min="8" max="26" width="8.71"/>
  </cols>
  <sheetData>
    <row r="1" ht="14.25" customHeight="1">
      <c r="A1" s="1" t="s">
        <v>0</v>
      </c>
    </row>
    <row r="2" ht="14.25" customHeight="1">
      <c r="A2" s="2" t="s">
        <v>1</v>
      </c>
    </row>
    <row r="3" ht="14.25" customHeight="1">
      <c r="A3" s="3" t="s">
        <v>2</v>
      </c>
    </row>
    <row r="4" ht="14.25" customHeight="1"/>
    <row r="5" ht="14.25" customHeight="1">
      <c r="A5" s="4"/>
      <c r="B5" s="4" t="s">
        <v>3</v>
      </c>
      <c r="C5" s="5" t="s">
        <v>4</v>
      </c>
    </row>
    <row r="6" ht="14.25" customHeight="1">
      <c r="A6" s="4"/>
      <c r="B6" s="4" t="s">
        <v>5</v>
      </c>
      <c r="C6" s="4" t="s">
        <v>6</v>
      </c>
    </row>
    <row r="7" ht="14.25" customHeight="1">
      <c r="A7" s="4"/>
      <c r="B7" s="4" t="s">
        <v>7</v>
      </c>
      <c r="C7" s="5" t="s">
        <v>8</v>
      </c>
    </row>
    <row r="8" ht="14.25" customHeight="1">
      <c r="B8" s="4" t="s">
        <v>9</v>
      </c>
      <c r="C8" s="4" t="s">
        <v>10</v>
      </c>
    </row>
    <row r="9" ht="14.25" customHeight="1">
      <c r="B9" s="4" t="s">
        <v>11</v>
      </c>
      <c r="C9" s="4" t="s">
        <v>12</v>
      </c>
    </row>
    <row r="10" ht="14.25" customHeight="1">
      <c r="B10" s="4" t="s">
        <v>13</v>
      </c>
      <c r="C10" s="6" t="s">
        <v>14</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G1"/>
    <mergeCell ref="A2:G2"/>
    <mergeCell ref="A3:G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0.57"/>
    <col customWidth="1" min="3" max="3" width="29.14"/>
    <col customWidth="1" min="4" max="4" width="14.57"/>
    <col customWidth="1" min="5" max="5" width="16.57"/>
    <col customWidth="1" min="6" max="6" width="20.29"/>
    <col customWidth="1" min="7" max="7" width="18.86"/>
    <col customWidth="1" min="8" max="8" width="25.29"/>
    <col customWidth="1" min="9" max="9" width="26.86"/>
    <col customWidth="1" min="10" max="10" width="19.43"/>
    <col customWidth="1" min="11" max="11" width="21.43"/>
    <col customWidth="1" min="12" max="12" width="22.71"/>
    <col customWidth="1" min="13" max="13" width="21.57"/>
    <col customWidth="1" min="14" max="14" width="22.14"/>
    <col customWidth="1" min="15" max="25" width="8.71"/>
  </cols>
  <sheetData>
    <row r="1" ht="14.25" customHeight="1">
      <c r="A1" s="7" t="s">
        <v>15</v>
      </c>
      <c r="B1" s="8" t="s">
        <v>16</v>
      </c>
      <c r="C1" s="7" t="s">
        <v>17</v>
      </c>
      <c r="D1" s="7" t="s">
        <v>18</v>
      </c>
      <c r="E1" s="7" t="s">
        <v>19</v>
      </c>
      <c r="F1" s="7" t="s">
        <v>20</v>
      </c>
      <c r="G1" s="7" t="s">
        <v>21</v>
      </c>
      <c r="H1" s="7" t="s">
        <v>22</v>
      </c>
      <c r="I1" s="9" t="s">
        <v>23</v>
      </c>
      <c r="J1" s="9" t="s">
        <v>24</v>
      </c>
      <c r="K1" s="9" t="s">
        <v>25</v>
      </c>
      <c r="L1" s="7" t="s">
        <v>26</v>
      </c>
      <c r="M1" s="7" t="s">
        <v>27</v>
      </c>
      <c r="N1" s="7" t="s">
        <v>28</v>
      </c>
    </row>
    <row r="2" ht="14.25" customHeight="1">
      <c r="A2" s="10">
        <v>1.0</v>
      </c>
      <c r="B2" s="10" t="s">
        <v>29</v>
      </c>
      <c r="C2" s="10" t="s">
        <v>30</v>
      </c>
      <c r="D2" s="10" t="s">
        <v>31</v>
      </c>
      <c r="E2" s="11" t="s">
        <v>32</v>
      </c>
      <c r="F2" s="10" t="s">
        <v>33</v>
      </c>
      <c r="G2" s="10" t="s">
        <v>34</v>
      </c>
      <c r="H2" s="10" t="s">
        <v>35</v>
      </c>
      <c r="I2" s="10" t="s">
        <v>36</v>
      </c>
      <c r="J2" s="10" t="s">
        <v>37</v>
      </c>
      <c r="K2" s="10" t="s">
        <v>37</v>
      </c>
      <c r="L2" s="10" t="s">
        <v>38</v>
      </c>
      <c r="M2" s="12" t="s">
        <v>39</v>
      </c>
      <c r="N2" s="10" t="s">
        <v>40</v>
      </c>
    </row>
    <row r="3" ht="14.25" customHeight="1">
      <c r="A3" s="10">
        <v>2.0</v>
      </c>
      <c r="B3" s="10" t="s">
        <v>41</v>
      </c>
      <c r="C3" s="10" t="s">
        <v>42</v>
      </c>
      <c r="D3" s="10" t="s">
        <v>31</v>
      </c>
      <c r="E3" s="11" t="s">
        <v>32</v>
      </c>
      <c r="F3" s="10" t="s">
        <v>43</v>
      </c>
      <c r="G3" s="10" t="s">
        <v>44</v>
      </c>
      <c r="H3" s="10" t="s">
        <v>45</v>
      </c>
      <c r="I3" s="10" t="s">
        <v>46</v>
      </c>
      <c r="J3" s="10" t="s">
        <v>37</v>
      </c>
      <c r="K3" s="10" t="s">
        <v>37</v>
      </c>
      <c r="L3" s="10" t="s">
        <v>47</v>
      </c>
      <c r="M3" s="12" t="s">
        <v>48</v>
      </c>
      <c r="N3" s="10" t="s">
        <v>49</v>
      </c>
    </row>
    <row r="4" ht="14.25" customHeight="1">
      <c r="A4" s="10">
        <v>3.0</v>
      </c>
      <c r="B4" s="10" t="s">
        <v>50</v>
      </c>
      <c r="C4" s="10" t="s">
        <v>51</v>
      </c>
      <c r="D4" s="10" t="s">
        <v>31</v>
      </c>
      <c r="E4" s="11" t="s">
        <v>32</v>
      </c>
      <c r="F4" s="10" t="s">
        <v>52</v>
      </c>
      <c r="G4" s="10" t="s">
        <v>53</v>
      </c>
      <c r="H4" s="10" t="s">
        <v>54</v>
      </c>
      <c r="I4" s="10" t="s">
        <v>55</v>
      </c>
      <c r="J4" s="10" t="s">
        <v>37</v>
      </c>
      <c r="K4" s="10" t="s">
        <v>37</v>
      </c>
      <c r="L4" s="10" t="s">
        <v>56</v>
      </c>
      <c r="M4" s="12" t="s">
        <v>57</v>
      </c>
      <c r="N4" s="10" t="s">
        <v>58</v>
      </c>
    </row>
    <row r="5" ht="14.25" customHeight="1">
      <c r="A5" s="13">
        <v>4.0</v>
      </c>
      <c r="B5" s="14" t="s">
        <v>59</v>
      </c>
      <c r="C5" s="13" t="s">
        <v>60</v>
      </c>
      <c r="D5" s="13" t="s">
        <v>61</v>
      </c>
      <c r="E5" s="15" t="s">
        <v>62</v>
      </c>
      <c r="F5" s="13" t="s">
        <v>63</v>
      </c>
      <c r="G5" s="13" t="s">
        <v>64</v>
      </c>
      <c r="H5" s="13" t="s">
        <v>65</v>
      </c>
      <c r="I5" s="13" t="s">
        <v>36</v>
      </c>
      <c r="J5" s="13" t="s">
        <v>66</v>
      </c>
      <c r="K5" s="13" t="s">
        <v>37</v>
      </c>
      <c r="L5" s="13" t="s">
        <v>67</v>
      </c>
      <c r="M5" s="14" t="s">
        <v>68</v>
      </c>
      <c r="N5" s="13" t="s">
        <v>49</v>
      </c>
    </row>
    <row r="6" ht="14.25" customHeight="1">
      <c r="A6" s="13">
        <v>5.0</v>
      </c>
      <c r="B6" s="13" t="s">
        <v>69</v>
      </c>
      <c r="C6" s="13" t="s">
        <v>70</v>
      </c>
      <c r="D6" s="13" t="s">
        <v>31</v>
      </c>
      <c r="E6" s="15" t="s">
        <v>62</v>
      </c>
      <c r="F6" s="13" t="s">
        <v>63</v>
      </c>
      <c r="G6" s="13" t="s">
        <v>44</v>
      </c>
      <c r="H6" s="13" t="s">
        <v>71</v>
      </c>
      <c r="I6" s="13" t="s">
        <v>36</v>
      </c>
      <c r="J6" s="13" t="s">
        <v>37</v>
      </c>
      <c r="K6" s="13" t="s">
        <v>66</v>
      </c>
      <c r="L6" s="13" t="s">
        <v>72</v>
      </c>
      <c r="M6" s="14" t="s">
        <v>73</v>
      </c>
      <c r="N6" s="13" t="s">
        <v>74</v>
      </c>
    </row>
    <row r="7" ht="14.25" customHeight="1">
      <c r="A7" s="10">
        <v>6.0</v>
      </c>
      <c r="B7" s="10" t="s">
        <v>75</v>
      </c>
      <c r="C7" s="10" t="s">
        <v>76</v>
      </c>
      <c r="D7" s="10" t="s">
        <v>31</v>
      </c>
      <c r="E7" s="11" t="s">
        <v>32</v>
      </c>
      <c r="F7" s="10" t="s">
        <v>77</v>
      </c>
      <c r="G7" s="10" t="s">
        <v>78</v>
      </c>
      <c r="H7" s="10" t="s">
        <v>79</v>
      </c>
      <c r="I7" s="10" t="s">
        <v>80</v>
      </c>
      <c r="J7" s="10" t="s">
        <v>37</v>
      </c>
      <c r="K7" s="10" t="s">
        <v>37</v>
      </c>
      <c r="L7" s="10" t="s">
        <v>81</v>
      </c>
      <c r="M7" s="12" t="s">
        <v>82</v>
      </c>
      <c r="N7" s="10" t="s">
        <v>58</v>
      </c>
    </row>
    <row r="8" ht="14.25" customHeight="1">
      <c r="A8" s="16">
        <v>7.0</v>
      </c>
      <c r="B8" s="16" t="s">
        <v>83</v>
      </c>
      <c r="C8" s="16" t="s">
        <v>84</v>
      </c>
      <c r="D8" s="16" t="s">
        <v>31</v>
      </c>
      <c r="E8" s="17" t="s">
        <v>85</v>
      </c>
      <c r="F8" s="16" t="s">
        <v>86</v>
      </c>
      <c r="G8" s="16" t="s">
        <v>87</v>
      </c>
      <c r="H8" s="16" t="s">
        <v>88</v>
      </c>
      <c r="I8" s="16" t="s">
        <v>89</v>
      </c>
      <c r="J8" s="16" t="s">
        <v>66</v>
      </c>
      <c r="K8" s="16" t="s">
        <v>37</v>
      </c>
      <c r="L8" s="16" t="s">
        <v>90</v>
      </c>
      <c r="M8" s="18" t="s">
        <v>91</v>
      </c>
      <c r="N8" s="16" t="s">
        <v>92</v>
      </c>
    </row>
    <row r="9" ht="14.25" customHeight="1">
      <c r="A9" s="10">
        <v>8.0</v>
      </c>
      <c r="B9" s="10" t="s">
        <v>93</v>
      </c>
      <c r="C9" s="10" t="s">
        <v>94</v>
      </c>
      <c r="D9" s="10" t="s">
        <v>61</v>
      </c>
      <c r="E9" s="11" t="s">
        <v>32</v>
      </c>
      <c r="F9" s="10" t="s">
        <v>55</v>
      </c>
      <c r="G9" s="10" t="s">
        <v>95</v>
      </c>
      <c r="H9" s="10" t="s">
        <v>96</v>
      </c>
      <c r="I9" s="10" t="s">
        <v>97</v>
      </c>
      <c r="J9" s="10" t="s">
        <v>66</v>
      </c>
      <c r="K9" s="10" t="s">
        <v>37</v>
      </c>
      <c r="L9" s="10" t="s">
        <v>98</v>
      </c>
      <c r="M9" s="12" t="s">
        <v>99</v>
      </c>
      <c r="N9" s="10" t="s">
        <v>49</v>
      </c>
    </row>
    <row r="10" ht="14.25" customHeight="1">
      <c r="A10" s="10">
        <v>9.0</v>
      </c>
      <c r="B10" s="10" t="s">
        <v>100</v>
      </c>
      <c r="C10" s="10" t="s">
        <v>101</v>
      </c>
      <c r="D10" s="10" t="s">
        <v>31</v>
      </c>
      <c r="E10" s="11" t="s">
        <v>32</v>
      </c>
      <c r="F10" s="10" t="s">
        <v>63</v>
      </c>
      <c r="G10" s="10" t="s">
        <v>102</v>
      </c>
      <c r="H10" s="10" t="s">
        <v>103</v>
      </c>
      <c r="I10" s="10" t="s">
        <v>36</v>
      </c>
      <c r="J10" s="10" t="s">
        <v>37</v>
      </c>
      <c r="K10" s="10" t="s">
        <v>37</v>
      </c>
      <c r="L10" s="10" t="s">
        <v>104</v>
      </c>
      <c r="M10" s="12" t="s">
        <v>105</v>
      </c>
      <c r="N10" s="10" t="s">
        <v>74</v>
      </c>
    </row>
    <row r="11" ht="14.25" customHeight="1">
      <c r="A11" s="10">
        <v>10.0</v>
      </c>
      <c r="B11" s="10" t="s">
        <v>106</v>
      </c>
      <c r="C11" s="10" t="s">
        <v>107</v>
      </c>
      <c r="D11" s="10" t="s">
        <v>31</v>
      </c>
      <c r="E11" s="11" t="s">
        <v>32</v>
      </c>
      <c r="F11" s="10" t="s">
        <v>43</v>
      </c>
      <c r="G11" s="10" t="s">
        <v>108</v>
      </c>
      <c r="H11" s="10" t="s">
        <v>109</v>
      </c>
      <c r="I11" s="10" t="s">
        <v>46</v>
      </c>
      <c r="J11" s="10" t="s">
        <v>66</v>
      </c>
      <c r="K11" s="10" t="s">
        <v>37</v>
      </c>
      <c r="L11" s="10" t="s">
        <v>110</v>
      </c>
      <c r="M11" s="12" t="s">
        <v>111</v>
      </c>
      <c r="N11" s="10" t="s">
        <v>92</v>
      </c>
    </row>
    <row r="12" ht="14.25" customHeight="1"/>
    <row r="13" ht="14.25" customHeight="1"/>
    <row r="14" ht="14.25" customHeight="1"/>
    <row r="15" ht="14.25" customHeight="1"/>
    <row r="16" ht="14.25" customHeight="1">
      <c r="B16" s="19" t="s">
        <v>19</v>
      </c>
      <c r="C16" s="20" t="s">
        <v>112</v>
      </c>
      <c r="E16" s="19" t="s">
        <v>19</v>
      </c>
      <c r="F16" s="20" t="s">
        <v>17</v>
      </c>
    </row>
    <row r="17" ht="14.25" customHeight="1">
      <c r="B17" s="21" t="s">
        <v>32</v>
      </c>
      <c r="C17" s="22" t="s">
        <v>113</v>
      </c>
      <c r="E17" s="21" t="s">
        <v>85</v>
      </c>
      <c r="F17" s="23" t="s">
        <v>114</v>
      </c>
    </row>
    <row r="18" ht="14.25" customHeight="1">
      <c r="B18" s="21" t="s">
        <v>62</v>
      </c>
      <c r="C18" s="24" t="s">
        <v>115</v>
      </c>
      <c r="E18" s="21" t="s">
        <v>62</v>
      </c>
      <c r="F18" s="25" t="s">
        <v>116</v>
      </c>
    </row>
    <row r="19" ht="14.25" customHeight="1">
      <c r="B19" s="21" t="s">
        <v>85</v>
      </c>
      <c r="C19" s="26" t="s">
        <v>117</v>
      </c>
      <c r="E19" s="27" t="s">
        <v>32</v>
      </c>
      <c r="F19" s="28" t="s">
        <v>118</v>
      </c>
    </row>
    <row r="20" ht="14.25" customHeight="1">
      <c r="E20" s="29"/>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E19:E20"/>
  </mergeCells>
  <printOptions/>
  <pageMargins bottom="1.0" footer="0.0" header="0.0" left="0.75" right="0.75" top="1.0"/>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3" width="30.14"/>
    <col customWidth="1" min="4" max="4" width="31.86"/>
    <col customWidth="1" min="5" max="5" width="26.14"/>
    <col customWidth="1" min="6" max="6" width="20.86"/>
    <col customWidth="1" min="7" max="7" width="17.86"/>
    <col customWidth="1" min="8" max="27" width="8.71"/>
  </cols>
  <sheetData>
    <row r="1" ht="14.25" customHeight="1">
      <c r="A1" s="30" t="s">
        <v>119</v>
      </c>
      <c r="B1" s="31" t="s">
        <v>120</v>
      </c>
      <c r="C1" s="30" t="s">
        <v>121</v>
      </c>
      <c r="D1" s="30" t="s">
        <v>122</v>
      </c>
      <c r="E1" s="30" t="s">
        <v>123</v>
      </c>
      <c r="F1" s="30" t="s">
        <v>124</v>
      </c>
      <c r="G1" s="30" t="s">
        <v>125</v>
      </c>
    </row>
    <row r="2" ht="14.25" customHeight="1">
      <c r="A2" s="32" t="s">
        <v>29</v>
      </c>
      <c r="B2" s="33" t="s">
        <v>126</v>
      </c>
      <c r="C2" s="32" t="s">
        <v>127</v>
      </c>
      <c r="D2" s="32" t="s">
        <v>128</v>
      </c>
      <c r="E2" s="33" t="s">
        <v>129</v>
      </c>
      <c r="F2" s="34" t="s">
        <v>130</v>
      </c>
      <c r="G2" s="35" t="s">
        <v>131</v>
      </c>
    </row>
    <row r="3" ht="14.25" customHeight="1">
      <c r="A3" s="32" t="s">
        <v>41</v>
      </c>
      <c r="B3" s="33" t="s">
        <v>132</v>
      </c>
      <c r="C3" s="32" t="s">
        <v>133</v>
      </c>
      <c r="D3" s="32" t="s">
        <v>134</v>
      </c>
      <c r="E3" s="33" t="s">
        <v>135</v>
      </c>
      <c r="F3" s="34" t="s">
        <v>130</v>
      </c>
      <c r="G3" s="35" t="s">
        <v>131</v>
      </c>
    </row>
    <row r="4" ht="14.25" customHeight="1">
      <c r="A4" s="32" t="s">
        <v>50</v>
      </c>
      <c r="B4" s="36" t="s">
        <v>136</v>
      </c>
      <c r="C4" s="37" t="s">
        <v>137</v>
      </c>
      <c r="D4" s="32" t="s">
        <v>138</v>
      </c>
      <c r="E4" s="33" t="s">
        <v>139</v>
      </c>
      <c r="F4" s="34" t="s">
        <v>130</v>
      </c>
      <c r="G4" s="35" t="s">
        <v>131</v>
      </c>
    </row>
    <row r="5" ht="14.25" customHeight="1">
      <c r="A5" s="33" t="s">
        <v>59</v>
      </c>
      <c r="B5" s="33" t="s">
        <v>126</v>
      </c>
      <c r="C5" s="32" t="s">
        <v>140</v>
      </c>
      <c r="D5" s="32" t="s">
        <v>141</v>
      </c>
      <c r="E5" s="33" t="s">
        <v>142</v>
      </c>
      <c r="F5" s="34" t="s">
        <v>130</v>
      </c>
      <c r="G5" s="35" t="s">
        <v>131</v>
      </c>
    </row>
    <row r="6" ht="14.25" customHeight="1">
      <c r="A6" s="33" t="s">
        <v>143</v>
      </c>
      <c r="B6" s="33" t="s">
        <v>144</v>
      </c>
      <c r="C6" s="33" t="s">
        <v>145</v>
      </c>
      <c r="D6" s="33" t="s">
        <v>146</v>
      </c>
      <c r="E6" s="33" t="s">
        <v>147</v>
      </c>
      <c r="F6" s="38" t="s">
        <v>130</v>
      </c>
      <c r="G6" s="39" t="s">
        <v>131</v>
      </c>
    </row>
    <row r="7" ht="14.25" customHeight="1">
      <c r="A7" s="32" t="s">
        <v>75</v>
      </c>
      <c r="B7" s="33" t="s">
        <v>148</v>
      </c>
      <c r="C7" s="32" t="s">
        <v>149</v>
      </c>
      <c r="D7" s="32" t="s">
        <v>150</v>
      </c>
      <c r="E7" s="33" t="s">
        <v>151</v>
      </c>
      <c r="F7" s="34" t="s">
        <v>130</v>
      </c>
      <c r="G7" s="35" t="s">
        <v>131</v>
      </c>
    </row>
    <row r="8" ht="14.25" customHeight="1">
      <c r="A8" s="32" t="s">
        <v>83</v>
      </c>
      <c r="B8" s="40" t="s">
        <v>152</v>
      </c>
      <c r="C8" s="32" t="s">
        <v>153</v>
      </c>
      <c r="D8" s="32" t="s">
        <v>154</v>
      </c>
      <c r="E8" s="33" t="s">
        <v>155</v>
      </c>
      <c r="F8" s="34" t="s">
        <v>130</v>
      </c>
      <c r="G8" s="35" t="s">
        <v>131</v>
      </c>
    </row>
    <row r="9" ht="14.25" customHeight="1">
      <c r="A9" s="32" t="s">
        <v>93</v>
      </c>
      <c r="B9" s="40" t="s">
        <v>132</v>
      </c>
      <c r="C9" s="32" t="s">
        <v>156</v>
      </c>
      <c r="D9" s="32" t="s">
        <v>157</v>
      </c>
      <c r="E9" s="33" t="s">
        <v>158</v>
      </c>
      <c r="F9" s="34" t="s">
        <v>130</v>
      </c>
      <c r="G9" s="35" t="s">
        <v>131</v>
      </c>
    </row>
    <row r="10" ht="14.25" customHeight="1">
      <c r="A10" s="32" t="s">
        <v>100</v>
      </c>
      <c r="B10" s="40" t="s">
        <v>136</v>
      </c>
      <c r="C10" s="32" t="s">
        <v>159</v>
      </c>
      <c r="D10" s="32" t="s">
        <v>160</v>
      </c>
      <c r="E10" s="33" t="s">
        <v>161</v>
      </c>
      <c r="F10" s="34" t="s">
        <v>130</v>
      </c>
      <c r="G10" s="35" t="s">
        <v>131</v>
      </c>
    </row>
    <row r="11" ht="14.25" customHeight="1">
      <c r="A11" s="32" t="s">
        <v>106</v>
      </c>
      <c r="B11" s="40" t="s">
        <v>126</v>
      </c>
      <c r="C11" s="32" t="s">
        <v>162</v>
      </c>
      <c r="D11" s="32" t="s">
        <v>163</v>
      </c>
      <c r="E11" s="33" t="s">
        <v>164</v>
      </c>
      <c r="F11" s="34" t="s">
        <v>130</v>
      </c>
      <c r="G11" s="35" t="s">
        <v>131</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1.0" footer="0.0" header="0.0" left="0.75" right="0.75" top="1.0"/>
  <pageSetup orientation="portrait"/>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71"/>
    <col customWidth="1" min="3" max="3" width="28.43"/>
    <col customWidth="1" min="4" max="4" width="19.57"/>
    <col customWidth="1" min="5" max="5" width="16.71"/>
    <col customWidth="1" min="6" max="6" width="15.43"/>
    <col customWidth="1" min="7" max="7" width="19.29"/>
    <col customWidth="1" min="8" max="8" width="16.43"/>
    <col customWidth="1" min="9" max="9" width="15.14"/>
    <col customWidth="1" min="10" max="10" width="13.14"/>
    <col customWidth="1" min="11" max="26" width="8.71"/>
  </cols>
  <sheetData>
    <row r="1" ht="14.25" customHeight="1">
      <c r="A1" s="41" t="s">
        <v>165</v>
      </c>
      <c r="B1" s="41" t="s">
        <v>119</v>
      </c>
      <c r="C1" s="41" t="s">
        <v>166</v>
      </c>
      <c r="D1" s="41" t="s">
        <v>167</v>
      </c>
      <c r="E1" s="41" t="s">
        <v>168</v>
      </c>
      <c r="F1" s="41" t="s">
        <v>169</v>
      </c>
      <c r="G1" s="41" t="s">
        <v>170</v>
      </c>
      <c r="H1" s="41" t="s">
        <v>171</v>
      </c>
      <c r="I1" s="41" t="s">
        <v>172</v>
      </c>
      <c r="J1" s="41" t="s">
        <v>173</v>
      </c>
    </row>
    <row r="2" ht="14.25" customHeight="1">
      <c r="A2" s="42" t="s">
        <v>174</v>
      </c>
      <c r="B2" s="42" t="s">
        <v>175</v>
      </c>
      <c r="C2" s="42" t="s">
        <v>176</v>
      </c>
      <c r="D2" s="43">
        <v>5.0</v>
      </c>
      <c r="E2" s="43">
        <v>5.0</v>
      </c>
      <c r="F2" s="43">
        <v>25.0</v>
      </c>
      <c r="G2" s="43">
        <v>3.0</v>
      </c>
      <c r="H2" s="43">
        <v>4.0</v>
      </c>
      <c r="I2" s="43">
        <v>12.0</v>
      </c>
      <c r="J2" s="42" t="s">
        <v>177</v>
      </c>
    </row>
    <row r="3" ht="14.25" customHeight="1">
      <c r="A3" s="42" t="s">
        <v>178</v>
      </c>
      <c r="B3" s="42" t="s">
        <v>179</v>
      </c>
      <c r="C3" s="42" t="s">
        <v>180</v>
      </c>
      <c r="D3" s="43">
        <v>4.0</v>
      </c>
      <c r="E3" s="43">
        <v>5.0</v>
      </c>
      <c r="F3" s="43">
        <v>20.0</v>
      </c>
      <c r="G3" s="43">
        <v>2.0</v>
      </c>
      <c r="H3" s="43">
        <v>4.0</v>
      </c>
      <c r="I3" s="43">
        <v>8.0</v>
      </c>
      <c r="J3" s="42" t="s">
        <v>181</v>
      </c>
    </row>
    <row r="4" ht="14.25" customHeight="1">
      <c r="A4" s="42" t="s">
        <v>182</v>
      </c>
      <c r="B4" s="42" t="s">
        <v>183</v>
      </c>
      <c r="C4" s="42" t="s">
        <v>184</v>
      </c>
      <c r="D4" s="43">
        <v>5.0</v>
      </c>
      <c r="E4" s="43">
        <v>4.0</v>
      </c>
      <c r="F4" s="43">
        <v>20.0</v>
      </c>
      <c r="G4" s="43">
        <v>3.0</v>
      </c>
      <c r="H4" s="43">
        <v>3.0</v>
      </c>
      <c r="I4" s="43">
        <v>9.0</v>
      </c>
      <c r="J4" s="42" t="s">
        <v>46</v>
      </c>
    </row>
    <row r="5" ht="14.25" customHeight="1">
      <c r="A5" s="42" t="s">
        <v>185</v>
      </c>
      <c r="B5" s="42" t="s">
        <v>186</v>
      </c>
      <c r="C5" s="42" t="s">
        <v>187</v>
      </c>
      <c r="D5" s="43">
        <v>4.0</v>
      </c>
      <c r="E5" s="43">
        <v>5.0</v>
      </c>
      <c r="F5" s="43">
        <v>20.0</v>
      </c>
      <c r="G5" s="43">
        <v>3.0</v>
      </c>
      <c r="H5" s="43">
        <v>4.0</v>
      </c>
      <c r="I5" s="43">
        <v>12.0</v>
      </c>
      <c r="J5" s="42" t="s">
        <v>188</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8.29"/>
    <col customWidth="1" min="3" max="3" width="19.57"/>
    <col customWidth="1" min="4" max="4" width="19.0"/>
    <col customWidth="1" min="5" max="5" width="18.86"/>
  </cols>
  <sheetData>
    <row r="1"/>
    <row r="2"/>
    <row r="3"/>
    <row r="4"/>
    <row r="5"/>
    <row r="6"/>
  </sheetData>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6.86"/>
    <col customWidth="1" min="8" max="8" width="15.71"/>
  </cols>
  <sheetData>
    <row r="1">
      <c r="A1" s="45" t="s">
        <v>194</v>
      </c>
      <c r="B1" s="46">
        <v>1.0</v>
      </c>
      <c r="C1" s="46">
        <v>2.0</v>
      </c>
      <c r="D1" s="46">
        <v>3.0</v>
      </c>
      <c r="E1" s="46">
        <v>4.0</v>
      </c>
      <c r="F1" s="46">
        <v>5.0</v>
      </c>
      <c r="H1" s="47" t="s">
        <v>195</v>
      </c>
      <c r="I1" s="47" t="s">
        <v>196</v>
      </c>
      <c r="J1" s="47" t="s">
        <v>112</v>
      </c>
      <c r="K1" s="48"/>
    </row>
    <row r="2">
      <c r="A2" s="46">
        <v>5.0</v>
      </c>
      <c r="B2" s="49">
        <v>5.0</v>
      </c>
      <c r="C2" s="50">
        <v>10.0</v>
      </c>
      <c r="D2" s="51">
        <v>15.0</v>
      </c>
      <c r="E2" s="51">
        <v>20.0</v>
      </c>
      <c r="F2" s="51">
        <v>25.0</v>
      </c>
      <c r="H2" s="52" t="s">
        <v>197</v>
      </c>
      <c r="I2" s="53" t="s">
        <v>130</v>
      </c>
      <c r="J2" s="54" t="s">
        <v>113</v>
      </c>
      <c r="K2" s="48"/>
    </row>
    <row r="3">
      <c r="A3" s="46">
        <v>4.0</v>
      </c>
      <c r="B3" s="49">
        <v>4.0</v>
      </c>
      <c r="C3" s="50">
        <v>8.0</v>
      </c>
      <c r="D3" s="50">
        <v>12.0</v>
      </c>
      <c r="E3" s="51">
        <v>16.0</v>
      </c>
      <c r="F3" s="51">
        <v>20.0</v>
      </c>
      <c r="H3" s="55">
        <v>46187.0</v>
      </c>
      <c r="I3" s="53" t="s">
        <v>131</v>
      </c>
      <c r="J3" s="56" t="s">
        <v>115</v>
      </c>
      <c r="K3" s="48"/>
    </row>
    <row r="4">
      <c r="A4" s="46">
        <v>3.0</v>
      </c>
      <c r="B4" s="49">
        <v>3.0</v>
      </c>
      <c r="C4" s="50">
        <v>6.0</v>
      </c>
      <c r="D4" s="50">
        <v>9.0</v>
      </c>
      <c r="E4" s="50">
        <v>12.0</v>
      </c>
      <c r="F4" s="51">
        <v>15.0</v>
      </c>
      <c r="H4" s="55">
        <v>46027.0</v>
      </c>
      <c r="I4" s="53" t="s">
        <v>198</v>
      </c>
      <c r="J4" s="57" t="s">
        <v>117</v>
      </c>
      <c r="K4" s="48"/>
    </row>
    <row r="5">
      <c r="A5" s="46">
        <v>2.0</v>
      </c>
      <c r="B5" s="49">
        <v>2.0</v>
      </c>
      <c r="C5" s="49">
        <v>4.0</v>
      </c>
      <c r="D5" s="50">
        <v>6.0</v>
      </c>
      <c r="E5" s="50">
        <v>8.0</v>
      </c>
      <c r="F5" s="50">
        <v>10.0</v>
      </c>
    </row>
    <row r="6">
      <c r="A6" s="46">
        <v>1.0</v>
      </c>
      <c r="B6" s="49">
        <v>1.0</v>
      </c>
      <c r="C6" s="49">
        <v>2.0</v>
      </c>
      <c r="D6" s="49">
        <v>3.0</v>
      </c>
      <c r="E6" s="49">
        <v>4.0</v>
      </c>
      <c r="F6" s="49">
        <v>5.0</v>
      </c>
      <c r="G6" s="58"/>
    </row>
    <row r="7">
      <c r="A7" s="58"/>
      <c r="B7" s="58"/>
      <c r="C7" s="58"/>
      <c r="D7" s="58"/>
      <c r="E7" s="58"/>
      <c r="F7" s="58"/>
      <c r="G7" s="58"/>
    </row>
    <row r="8">
      <c r="G8" s="58"/>
    </row>
    <row r="9">
      <c r="G9" s="58"/>
    </row>
    <row r="10">
      <c r="G10" s="58"/>
    </row>
    <row r="11">
      <c r="G11" s="58"/>
    </row>
    <row r="12">
      <c r="G12" s="5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57"/>
    <col customWidth="1" min="2" max="2" width="23.14"/>
    <col customWidth="1" min="3" max="3" width="40.14"/>
    <col customWidth="1" min="4" max="4" width="13.86"/>
    <col customWidth="1" min="5" max="7" width="18.14"/>
    <col customWidth="1" min="8" max="8" width="29.86"/>
    <col customWidth="1" min="9" max="9" width="25.57"/>
    <col customWidth="1" min="10" max="10" width="15.57"/>
    <col customWidth="1" min="11" max="11" width="22.57"/>
    <col customWidth="1" min="12" max="12" width="17.29"/>
    <col customWidth="1" min="13" max="13" width="18.43"/>
    <col customWidth="1" min="14" max="14" width="25.0"/>
    <col customWidth="1" min="15" max="26" width="8.71"/>
  </cols>
  <sheetData>
    <row r="1" ht="14.25" customHeight="1">
      <c r="A1" s="41" t="s">
        <v>199</v>
      </c>
      <c r="B1" s="41" t="s">
        <v>200</v>
      </c>
      <c r="C1" s="41" t="s">
        <v>201</v>
      </c>
      <c r="D1" s="41" t="s">
        <v>202</v>
      </c>
      <c r="E1" s="41" t="s">
        <v>203</v>
      </c>
      <c r="F1" s="41" t="s">
        <v>204</v>
      </c>
      <c r="G1" s="41" t="s">
        <v>205</v>
      </c>
      <c r="H1" s="41" t="s">
        <v>206</v>
      </c>
      <c r="I1" s="41" t="s">
        <v>207</v>
      </c>
      <c r="J1" s="41" t="s">
        <v>208</v>
      </c>
      <c r="K1" s="41" t="s">
        <v>209</v>
      </c>
      <c r="L1" s="41" t="s">
        <v>210</v>
      </c>
      <c r="M1" s="41" t="s">
        <v>211</v>
      </c>
      <c r="N1" s="41" t="s">
        <v>212</v>
      </c>
    </row>
    <row r="2" ht="14.25" customHeight="1">
      <c r="A2" s="33" t="s">
        <v>213</v>
      </c>
      <c r="B2" s="33" t="s">
        <v>214</v>
      </c>
      <c r="C2" s="33" t="s">
        <v>215</v>
      </c>
      <c r="D2" s="40" t="s">
        <v>216</v>
      </c>
      <c r="E2" s="40" t="s">
        <v>217</v>
      </c>
      <c r="F2" s="33" t="s">
        <v>218</v>
      </c>
      <c r="G2" s="33" t="s">
        <v>219</v>
      </c>
      <c r="H2" s="33" t="s">
        <v>220</v>
      </c>
      <c r="I2" s="33" t="s">
        <v>221</v>
      </c>
      <c r="J2" s="33" t="s">
        <v>46</v>
      </c>
      <c r="K2" s="33" t="s">
        <v>222</v>
      </c>
      <c r="L2" s="59">
        <v>2.0</v>
      </c>
      <c r="M2" s="59">
        <v>2.0</v>
      </c>
      <c r="N2" s="33" t="s">
        <v>223</v>
      </c>
    </row>
    <row r="3" ht="14.25" customHeight="1">
      <c r="A3" s="42" t="s">
        <v>224</v>
      </c>
      <c r="B3" s="42" t="s">
        <v>225</v>
      </c>
      <c r="C3" s="42" t="s">
        <v>226</v>
      </c>
      <c r="D3" s="42" t="s">
        <v>216</v>
      </c>
      <c r="E3" s="42" t="s">
        <v>227</v>
      </c>
      <c r="F3" s="60" t="s">
        <v>218</v>
      </c>
      <c r="G3" s="42" t="s">
        <v>228</v>
      </c>
      <c r="H3" s="42" t="s">
        <v>229</v>
      </c>
      <c r="I3" s="42" t="s">
        <v>230</v>
      </c>
      <c r="J3" s="42" t="s">
        <v>43</v>
      </c>
      <c r="K3" s="42" t="s">
        <v>231</v>
      </c>
      <c r="L3" s="43">
        <v>4.0</v>
      </c>
      <c r="M3" s="43">
        <v>4.0</v>
      </c>
      <c r="N3" s="42" t="s">
        <v>232</v>
      </c>
    </row>
    <row r="4" ht="14.25" customHeight="1">
      <c r="A4" s="42" t="s">
        <v>233</v>
      </c>
      <c r="B4" s="42" t="s">
        <v>234</v>
      </c>
      <c r="C4" s="42" t="s">
        <v>235</v>
      </c>
      <c r="D4" s="42" t="s">
        <v>216</v>
      </c>
      <c r="E4" s="42" t="s">
        <v>236</v>
      </c>
      <c r="F4" s="60" t="s">
        <v>218</v>
      </c>
      <c r="G4" s="42" t="s">
        <v>237</v>
      </c>
      <c r="H4" s="42" t="s">
        <v>238</v>
      </c>
      <c r="I4" s="42" t="s">
        <v>239</v>
      </c>
      <c r="J4" s="42" t="s">
        <v>240</v>
      </c>
      <c r="K4" s="42" t="s">
        <v>222</v>
      </c>
      <c r="L4" s="43">
        <v>3.0</v>
      </c>
      <c r="M4" s="43">
        <v>3.0</v>
      </c>
      <c r="N4" s="42" t="s">
        <v>241</v>
      </c>
    </row>
    <row r="5" ht="14.25" customHeight="1">
      <c r="A5" s="42" t="s">
        <v>242</v>
      </c>
      <c r="B5" s="42" t="s">
        <v>243</v>
      </c>
      <c r="C5" s="42" t="s">
        <v>244</v>
      </c>
      <c r="D5" s="42" t="s">
        <v>245</v>
      </c>
      <c r="E5" s="42" t="s">
        <v>246</v>
      </c>
      <c r="F5" s="60" t="s">
        <v>218</v>
      </c>
      <c r="G5" s="42" t="s">
        <v>247</v>
      </c>
      <c r="H5" s="42" t="s">
        <v>220</v>
      </c>
      <c r="I5" s="42" t="s">
        <v>248</v>
      </c>
      <c r="J5" s="42" t="s">
        <v>46</v>
      </c>
      <c r="K5" s="42" t="s">
        <v>231</v>
      </c>
      <c r="L5" s="43">
        <v>4.0</v>
      </c>
      <c r="M5" s="43">
        <v>4.0</v>
      </c>
      <c r="N5" s="42" t="s">
        <v>249</v>
      </c>
    </row>
    <row r="6" ht="14.25" customHeight="1">
      <c r="A6" s="42" t="s">
        <v>250</v>
      </c>
      <c r="B6" s="42" t="s">
        <v>251</v>
      </c>
      <c r="C6" s="42" t="s">
        <v>252</v>
      </c>
      <c r="D6" s="42" t="s">
        <v>216</v>
      </c>
      <c r="E6" s="42" t="s">
        <v>253</v>
      </c>
      <c r="F6" s="60" t="s">
        <v>218</v>
      </c>
      <c r="G6" s="42" t="s">
        <v>254</v>
      </c>
      <c r="H6" s="42" t="s">
        <v>255</v>
      </c>
      <c r="I6" s="42" t="s">
        <v>256</v>
      </c>
      <c r="J6" s="42" t="s">
        <v>46</v>
      </c>
      <c r="K6" s="42" t="s">
        <v>222</v>
      </c>
      <c r="L6" s="43">
        <v>3.0</v>
      </c>
      <c r="M6" s="43">
        <v>2.0</v>
      </c>
      <c r="N6" s="42" t="s">
        <v>257</v>
      </c>
    </row>
    <row r="7" ht="14.25" customHeight="1">
      <c r="A7" s="42" t="s">
        <v>258</v>
      </c>
      <c r="B7" s="42" t="s">
        <v>259</v>
      </c>
      <c r="C7" s="42" t="s">
        <v>260</v>
      </c>
      <c r="D7" s="42" t="s">
        <v>261</v>
      </c>
      <c r="E7" s="42" t="s">
        <v>262</v>
      </c>
      <c r="F7" s="60" t="s">
        <v>218</v>
      </c>
      <c r="G7" s="42" t="s">
        <v>263</v>
      </c>
      <c r="H7" s="42" t="s">
        <v>264</v>
      </c>
      <c r="I7" s="42" t="s">
        <v>265</v>
      </c>
      <c r="J7" s="42" t="s">
        <v>240</v>
      </c>
      <c r="K7" s="42" t="s">
        <v>231</v>
      </c>
      <c r="L7" s="43">
        <v>4.0</v>
      </c>
      <c r="M7" s="43">
        <v>4.0</v>
      </c>
      <c r="N7" s="42" t="s">
        <v>266</v>
      </c>
    </row>
    <row r="8" ht="14.25" customHeight="1">
      <c r="A8" s="42" t="s">
        <v>267</v>
      </c>
      <c r="B8" s="42" t="s">
        <v>268</v>
      </c>
      <c r="C8" s="42" t="s">
        <v>269</v>
      </c>
      <c r="D8" s="42" t="s">
        <v>216</v>
      </c>
      <c r="E8" s="42" t="s">
        <v>270</v>
      </c>
      <c r="F8" s="42" t="s">
        <v>271</v>
      </c>
      <c r="G8" s="42" t="s">
        <v>272</v>
      </c>
      <c r="H8" s="42" t="s">
        <v>273</v>
      </c>
      <c r="I8" s="42" t="s">
        <v>274</v>
      </c>
      <c r="J8" s="42" t="s">
        <v>188</v>
      </c>
      <c r="K8" s="42" t="s">
        <v>222</v>
      </c>
      <c r="L8" s="43">
        <v>3.0</v>
      </c>
      <c r="M8" s="43">
        <v>2.0</v>
      </c>
      <c r="N8" s="42" t="s">
        <v>275</v>
      </c>
    </row>
    <row r="9" ht="14.25" customHeight="1">
      <c r="A9" s="42" t="s">
        <v>276</v>
      </c>
      <c r="B9" s="42" t="s">
        <v>277</v>
      </c>
      <c r="C9" s="42" t="s">
        <v>278</v>
      </c>
      <c r="D9" s="42" t="s">
        <v>216</v>
      </c>
      <c r="E9" s="42" t="s">
        <v>279</v>
      </c>
      <c r="F9" s="42" t="s">
        <v>280</v>
      </c>
      <c r="G9" s="42" t="s">
        <v>281</v>
      </c>
      <c r="H9" s="42" t="s">
        <v>273</v>
      </c>
      <c r="I9" s="42" t="s">
        <v>282</v>
      </c>
      <c r="J9" s="42" t="s">
        <v>283</v>
      </c>
      <c r="K9" s="42" t="s">
        <v>231</v>
      </c>
      <c r="L9" s="43">
        <v>4.0</v>
      </c>
      <c r="M9" s="43">
        <v>3.0</v>
      </c>
      <c r="N9" s="42" t="s">
        <v>284</v>
      </c>
    </row>
    <row r="10" ht="14.25" customHeight="1"/>
    <row r="11" ht="14.25" customHeight="1"/>
    <row r="12" ht="14.25" customHeight="1"/>
    <row r="13" ht="14.25" customHeight="1"/>
    <row r="14" ht="14.25" customHeight="1"/>
    <row r="15" ht="14.25" customHeight="1"/>
    <row r="16" ht="14.25" customHeight="1"/>
    <row r="17" ht="14.25" customHeight="1">
      <c r="B17" s="61"/>
      <c r="C17" s="62"/>
      <c r="D17" s="62"/>
    </row>
    <row r="18" ht="14.25" customHeight="1">
      <c r="B18" s="63"/>
      <c r="C18" s="62"/>
      <c r="D18" s="61"/>
    </row>
    <row r="19" ht="14.25" customHeight="1">
      <c r="B19" s="63"/>
      <c r="C19" s="62"/>
      <c r="D19" s="61"/>
    </row>
    <row r="20" ht="14.25" customHeight="1">
      <c r="B20" s="63"/>
      <c r="C20" s="62"/>
      <c r="D20" s="61"/>
    </row>
    <row r="21" ht="14.25" customHeight="1">
      <c r="B21" s="63"/>
      <c r="C21" s="62"/>
      <c r="D21" s="61"/>
    </row>
    <row r="22" ht="14.25" customHeight="1">
      <c r="B22" s="48"/>
      <c r="C22" s="48"/>
      <c r="D22" s="48"/>
    </row>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64" t="s">
        <v>199</v>
      </c>
      <c r="B1" s="64" t="s">
        <v>200</v>
      </c>
      <c r="C1" s="64" t="s">
        <v>208</v>
      </c>
      <c r="D1" s="64" t="s">
        <v>285</v>
      </c>
      <c r="E1" s="64" t="s">
        <v>210</v>
      </c>
      <c r="F1" s="64" t="s">
        <v>211</v>
      </c>
      <c r="G1" s="64" t="s">
        <v>286</v>
      </c>
    </row>
    <row r="2">
      <c r="A2" s="53" t="s">
        <v>224</v>
      </c>
      <c r="B2" s="53" t="s">
        <v>225</v>
      </c>
      <c r="C2" s="53" t="s">
        <v>43</v>
      </c>
      <c r="D2" s="53" t="s">
        <v>287</v>
      </c>
      <c r="E2" s="65">
        <v>4.0</v>
      </c>
      <c r="F2" s="65">
        <v>4.0</v>
      </c>
      <c r="G2" s="65">
        <v>4.0</v>
      </c>
    </row>
    <row r="3">
      <c r="A3" s="53" t="s">
        <v>233</v>
      </c>
      <c r="B3" s="53" t="s">
        <v>234</v>
      </c>
      <c r="C3" s="53" t="s">
        <v>240</v>
      </c>
      <c r="D3" s="53" t="s">
        <v>177</v>
      </c>
      <c r="E3" s="65">
        <v>3.0</v>
      </c>
      <c r="F3" s="65">
        <v>3.0</v>
      </c>
      <c r="G3" s="65">
        <v>3.0</v>
      </c>
    </row>
    <row r="4">
      <c r="A4" s="53" t="s">
        <v>242</v>
      </c>
      <c r="B4" s="53" t="s">
        <v>243</v>
      </c>
      <c r="C4" s="53" t="s">
        <v>46</v>
      </c>
      <c r="D4" s="53" t="s">
        <v>288</v>
      </c>
      <c r="E4" s="65">
        <v>4.0</v>
      </c>
      <c r="F4" s="65">
        <v>4.0</v>
      </c>
      <c r="G4" s="65">
        <v>4.0</v>
      </c>
    </row>
    <row r="5">
      <c r="A5" s="53" t="s">
        <v>250</v>
      </c>
      <c r="B5" s="53" t="s">
        <v>251</v>
      </c>
      <c r="C5" s="53" t="s">
        <v>46</v>
      </c>
      <c r="D5" s="53" t="s">
        <v>177</v>
      </c>
      <c r="E5" s="65">
        <v>3.0</v>
      </c>
      <c r="F5" s="65">
        <v>2.0</v>
      </c>
      <c r="G5" s="65">
        <v>2.5</v>
      </c>
    </row>
    <row r="6">
      <c r="A6" s="53" t="s">
        <v>258</v>
      </c>
      <c r="B6" s="53" t="s">
        <v>259</v>
      </c>
      <c r="C6" s="53" t="s">
        <v>240</v>
      </c>
      <c r="D6" s="53" t="s">
        <v>264</v>
      </c>
      <c r="E6" s="65">
        <v>4.0</v>
      </c>
      <c r="F6" s="65">
        <v>4.0</v>
      </c>
      <c r="G6" s="65">
        <v>4.0</v>
      </c>
    </row>
    <row r="7">
      <c r="A7" s="53" t="s">
        <v>267</v>
      </c>
      <c r="B7" s="53" t="s">
        <v>268</v>
      </c>
      <c r="C7" s="53" t="s">
        <v>188</v>
      </c>
      <c r="D7" s="53" t="s">
        <v>273</v>
      </c>
      <c r="E7" s="65">
        <v>3.0</v>
      </c>
      <c r="F7" s="65">
        <v>2.0</v>
      </c>
      <c r="G7" s="65">
        <v>2.5</v>
      </c>
    </row>
    <row r="8">
      <c r="A8" s="53" t="s">
        <v>276</v>
      </c>
      <c r="B8" s="53" t="s">
        <v>277</v>
      </c>
      <c r="C8" s="53" t="s">
        <v>283</v>
      </c>
      <c r="D8" s="53" t="s">
        <v>273</v>
      </c>
      <c r="E8" s="65">
        <v>4.0</v>
      </c>
      <c r="F8" s="65">
        <v>3.0</v>
      </c>
      <c r="G8" s="65">
        <v>3.5</v>
      </c>
    </row>
    <row r="9">
      <c r="A9" s="48"/>
      <c r="B9" s="48"/>
      <c r="C9" s="48"/>
      <c r="D9" s="48"/>
      <c r="E9" s="48"/>
      <c r="F9" s="48"/>
      <c r="G9" s="4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34.29"/>
    <col customWidth="1" min="7" max="7" width="29.86"/>
  </cols>
  <sheetData>
    <row r="1">
      <c r="A1" s="66" t="s">
        <v>289</v>
      </c>
      <c r="E1" s="66" t="s">
        <v>290</v>
      </c>
    </row>
    <row r="2">
      <c r="A2" s="67" t="s">
        <v>291</v>
      </c>
      <c r="B2" s="67" t="s">
        <v>292</v>
      </c>
      <c r="C2" s="67" t="s">
        <v>17</v>
      </c>
      <c r="E2" s="68" t="s">
        <v>291</v>
      </c>
      <c r="F2" s="68" t="s">
        <v>292</v>
      </c>
      <c r="G2" s="68" t="s">
        <v>17</v>
      </c>
    </row>
    <row r="3">
      <c r="A3" s="69">
        <v>1.0</v>
      </c>
      <c r="B3" s="70" t="s">
        <v>293</v>
      </c>
      <c r="C3" s="70" t="s">
        <v>294</v>
      </c>
      <c r="D3" s="71"/>
      <c r="E3" s="69">
        <v>1.0</v>
      </c>
      <c r="F3" s="70" t="s">
        <v>293</v>
      </c>
      <c r="G3" s="72" t="s">
        <v>295</v>
      </c>
      <c r="H3" s="71"/>
    </row>
    <row r="4">
      <c r="A4" s="69">
        <v>2.0</v>
      </c>
      <c r="B4" s="70" t="s">
        <v>296</v>
      </c>
      <c r="C4" s="72" t="s">
        <v>297</v>
      </c>
      <c r="D4" s="71"/>
      <c r="E4" s="69">
        <v>2.0</v>
      </c>
      <c r="F4" s="70" t="s">
        <v>296</v>
      </c>
      <c r="G4" s="72" t="s">
        <v>298</v>
      </c>
      <c r="H4" s="71"/>
    </row>
    <row r="5">
      <c r="A5" s="69">
        <v>3.0</v>
      </c>
      <c r="B5" s="70" t="s">
        <v>299</v>
      </c>
      <c r="C5" s="72" t="s">
        <v>300</v>
      </c>
      <c r="D5" s="71"/>
      <c r="E5" s="69">
        <v>3.0</v>
      </c>
      <c r="F5" s="70" t="s">
        <v>299</v>
      </c>
      <c r="G5" s="72" t="s">
        <v>301</v>
      </c>
      <c r="H5" s="71"/>
    </row>
    <row r="6">
      <c r="A6" s="69">
        <v>4.0</v>
      </c>
      <c r="B6" s="70" t="s">
        <v>302</v>
      </c>
      <c r="C6" s="72" t="s">
        <v>303</v>
      </c>
      <c r="D6" s="71"/>
      <c r="E6" s="69">
        <v>4.0</v>
      </c>
      <c r="F6" s="70" t="s">
        <v>302</v>
      </c>
      <c r="G6" s="72" t="s">
        <v>304</v>
      </c>
      <c r="H6" s="71"/>
    </row>
    <row r="7">
      <c r="A7" s="69">
        <v>5.0</v>
      </c>
      <c r="B7" s="70" t="s">
        <v>305</v>
      </c>
      <c r="C7" s="72" t="s">
        <v>306</v>
      </c>
      <c r="D7" s="71"/>
      <c r="E7" s="69">
        <v>5.0</v>
      </c>
      <c r="F7" s="70" t="s">
        <v>305</v>
      </c>
      <c r="G7" s="72" t="s">
        <v>307</v>
      </c>
      <c r="H7" s="71"/>
    </row>
    <row r="8">
      <c r="A8" s="48"/>
      <c r="B8" s="48"/>
      <c r="C8" s="48"/>
    </row>
  </sheetData>
  <drawing r:id="rId1"/>
  <tableParts count="2">
    <tablePart r:id="rId4"/>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8.57"/>
    <col customWidth="1" min="2" max="2" width="32.0"/>
  </cols>
  <sheetData>
    <row r="1"/>
    <row r="2"/>
    <row r="3"/>
    <row r="4"/>
    <row r="5"/>
    <row r="6"/>
    <row r="7"/>
  </sheetData>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0.86"/>
    <col customWidth="1" min="3" max="3" width="22.14"/>
    <col customWidth="1" min="4" max="4" width="22.57"/>
    <col customWidth="1" min="5" max="5" width="18.57"/>
    <col customWidth="1" min="6" max="6" width="16.57"/>
    <col customWidth="1" min="7" max="7" width="10.29"/>
    <col customWidth="1" min="8" max="8" width="14.14"/>
    <col customWidth="1" min="9" max="9" width="21.86"/>
    <col customWidth="1" min="10" max="26" width="8.71"/>
  </cols>
  <sheetData>
    <row r="1" ht="14.25" customHeight="1">
      <c r="A1" s="7" t="s">
        <v>309</v>
      </c>
      <c r="B1" s="7" t="s">
        <v>310</v>
      </c>
      <c r="C1" s="7" t="s">
        <v>311</v>
      </c>
      <c r="D1" s="7" t="s">
        <v>312</v>
      </c>
      <c r="E1" s="7" t="s">
        <v>207</v>
      </c>
      <c r="F1" s="7" t="s">
        <v>313</v>
      </c>
      <c r="G1" s="7" t="s">
        <v>314</v>
      </c>
      <c r="H1" s="7" t="s">
        <v>315</v>
      </c>
      <c r="I1" s="7" t="s">
        <v>212</v>
      </c>
    </row>
    <row r="2" ht="14.25" customHeight="1">
      <c r="A2" s="33" t="s">
        <v>316</v>
      </c>
      <c r="B2" s="33" t="s">
        <v>217</v>
      </c>
      <c r="C2" s="33" t="s">
        <v>214</v>
      </c>
      <c r="D2" s="33" t="s">
        <v>317</v>
      </c>
      <c r="E2" s="33" t="s">
        <v>318</v>
      </c>
      <c r="F2" s="40" t="s">
        <v>46</v>
      </c>
      <c r="G2" s="40" t="s">
        <v>222</v>
      </c>
      <c r="H2" s="74">
        <v>46113.0</v>
      </c>
      <c r="I2" s="75" t="s">
        <v>223</v>
      </c>
    </row>
    <row r="3" ht="14.25" customHeight="1">
      <c r="A3" s="33" t="s">
        <v>316</v>
      </c>
      <c r="B3" s="33" t="s">
        <v>270</v>
      </c>
      <c r="C3" s="33" t="s">
        <v>319</v>
      </c>
      <c r="D3" s="33" t="s">
        <v>320</v>
      </c>
      <c r="E3" s="33" t="s">
        <v>321</v>
      </c>
      <c r="F3" s="33" t="s">
        <v>46</v>
      </c>
      <c r="G3" s="33" t="s">
        <v>222</v>
      </c>
      <c r="H3" s="74">
        <v>46113.0</v>
      </c>
      <c r="I3" s="75" t="s">
        <v>322</v>
      </c>
    </row>
    <row r="4" ht="14.25" customHeight="1">
      <c r="A4" s="33" t="s">
        <v>316</v>
      </c>
      <c r="B4" s="33" t="s">
        <v>323</v>
      </c>
      <c r="C4" s="33" t="s">
        <v>324</v>
      </c>
      <c r="D4" s="33" t="s">
        <v>325</v>
      </c>
      <c r="E4" s="33" t="s">
        <v>326</v>
      </c>
      <c r="F4" s="33" t="s">
        <v>240</v>
      </c>
      <c r="G4" s="33" t="s">
        <v>327</v>
      </c>
      <c r="H4" s="74">
        <v>46113.0</v>
      </c>
      <c r="I4" s="32" t="s">
        <v>328</v>
      </c>
    </row>
    <row r="5" ht="14.25" customHeight="1">
      <c r="A5" s="33" t="s">
        <v>316</v>
      </c>
      <c r="B5" s="33" t="s">
        <v>329</v>
      </c>
      <c r="C5" s="33" t="s">
        <v>330</v>
      </c>
      <c r="D5" s="33" t="s">
        <v>331</v>
      </c>
      <c r="E5" s="33" t="s">
        <v>332</v>
      </c>
      <c r="F5" s="33" t="s">
        <v>240</v>
      </c>
      <c r="G5" s="33" t="s">
        <v>327</v>
      </c>
      <c r="H5" s="74">
        <v>46113.0</v>
      </c>
      <c r="I5" s="40" t="s">
        <v>333</v>
      </c>
    </row>
    <row r="6" ht="14.25" customHeight="1">
      <c r="A6" s="33" t="s">
        <v>316</v>
      </c>
      <c r="B6" s="33" t="s">
        <v>334</v>
      </c>
      <c r="C6" s="33" t="s">
        <v>335</v>
      </c>
      <c r="D6" s="33" t="s">
        <v>336</v>
      </c>
      <c r="E6" s="33" t="s">
        <v>337</v>
      </c>
      <c r="F6" s="33" t="s">
        <v>177</v>
      </c>
      <c r="G6" s="33" t="s">
        <v>222</v>
      </c>
      <c r="H6" s="74">
        <v>46114.0</v>
      </c>
      <c r="I6" s="40" t="s">
        <v>338</v>
      </c>
    </row>
    <row r="7" ht="14.25" customHeight="1">
      <c r="A7" s="33" t="s">
        <v>316</v>
      </c>
      <c r="B7" s="33" t="s">
        <v>339</v>
      </c>
      <c r="C7" s="33" t="s">
        <v>340</v>
      </c>
      <c r="D7" s="33" t="s">
        <v>341</v>
      </c>
      <c r="E7" s="33" t="s">
        <v>342</v>
      </c>
      <c r="F7" s="33" t="s">
        <v>55</v>
      </c>
      <c r="G7" s="33" t="s">
        <v>327</v>
      </c>
      <c r="H7" s="76">
        <v>46101.0</v>
      </c>
      <c r="I7" s="33" t="s">
        <v>343</v>
      </c>
    </row>
    <row r="8" ht="14.25" customHeight="1">
      <c r="A8" s="33" t="s">
        <v>316</v>
      </c>
      <c r="B8" s="33" t="s">
        <v>279</v>
      </c>
      <c r="C8" s="33" t="s">
        <v>344</v>
      </c>
      <c r="D8" s="33" t="s">
        <v>345</v>
      </c>
      <c r="E8" s="33" t="s">
        <v>346</v>
      </c>
      <c r="F8" s="33" t="s">
        <v>55</v>
      </c>
      <c r="G8" s="33" t="s">
        <v>222</v>
      </c>
      <c r="H8" s="76">
        <v>46113.0</v>
      </c>
      <c r="I8" s="40" t="s">
        <v>347</v>
      </c>
    </row>
    <row r="9" ht="14.25" customHeight="1">
      <c r="A9" s="33" t="s">
        <v>316</v>
      </c>
      <c r="B9" s="33" t="s">
        <v>348</v>
      </c>
      <c r="C9" s="33" t="s">
        <v>349</v>
      </c>
      <c r="D9" s="33" t="s">
        <v>350</v>
      </c>
      <c r="E9" s="33" t="s">
        <v>351</v>
      </c>
      <c r="F9" s="33" t="s">
        <v>63</v>
      </c>
      <c r="G9" s="33" t="s">
        <v>327</v>
      </c>
      <c r="H9" s="74">
        <v>46114.0</v>
      </c>
      <c r="I9" s="40" t="s">
        <v>352</v>
      </c>
    </row>
    <row r="10" ht="14.25" customHeight="1">
      <c r="A10" s="33" t="s">
        <v>316</v>
      </c>
      <c r="B10" s="33" t="s">
        <v>236</v>
      </c>
      <c r="C10" s="33" t="s">
        <v>353</v>
      </c>
      <c r="D10" s="33" t="s">
        <v>354</v>
      </c>
      <c r="E10" s="33" t="s">
        <v>355</v>
      </c>
      <c r="F10" s="33" t="s">
        <v>240</v>
      </c>
      <c r="G10" s="33" t="s">
        <v>222</v>
      </c>
      <c r="H10" s="74">
        <v>46115.0</v>
      </c>
      <c r="I10" s="40" t="s">
        <v>356</v>
      </c>
    </row>
    <row r="11" ht="14.25" customHeight="1">
      <c r="A11" s="33" t="s">
        <v>316</v>
      </c>
      <c r="B11" s="33" t="s">
        <v>357</v>
      </c>
      <c r="C11" s="33" t="s">
        <v>358</v>
      </c>
      <c r="D11" s="33" t="s">
        <v>359</v>
      </c>
      <c r="E11" s="33" t="s">
        <v>360</v>
      </c>
      <c r="F11" s="33" t="s">
        <v>361</v>
      </c>
      <c r="G11" s="33" t="s">
        <v>362</v>
      </c>
      <c r="H11" s="33" t="s">
        <v>363</v>
      </c>
      <c r="I11" s="40" t="s">
        <v>364</v>
      </c>
    </row>
    <row r="12" ht="14.25" customHeight="1">
      <c r="A12" s="32" t="s">
        <v>316</v>
      </c>
      <c r="B12" s="32" t="s">
        <v>365</v>
      </c>
      <c r="C12" s="32" t="s">
        <v>366</v>
      </c>
      <c r="D12" s="32" t="s">
        <v>367</v>
      </c>
      <c r="E12" s="32" t="s">
        <v>368</v>
      </c>
      <c r="F12" s="32" t="s">
        <v>46</v>
      </c>
      <c r="G12" s="32" t="s">
        <v>327</v>
      </c>
      <c r="H12" s="77">
        <v>46114.0</v>
      </c>
      <c r="I12" s="32" t="s">
        <v>369</v>
      </c>
    </row>
    <row r="13" ht="14.25" customHeight="1">
      <c r="A13" s="32" t="s">
        <v>370</v>
      </c>
      <c r="B13" s="32" t="s">
        <v>371</v>
      </c>
      <c r="C13" s="32" t="s">
        <v>372</v>
      </c>
      <c r="D13" s="32" t="s">
        <v>373</v>
      </c>
      <c r="E13" s="32" t="s">
        <v>374</v>
      </c>
      <c r="F13" s="32" t="s">
        <v>188</v>
      </c>
      <c r="G13" s="32" t="s">
        <v>222</v>
      </c>
      <c r="H13" s="77">
        <v>46115.0</v>
      </c>
      <c r="I13" s="32" t="s">
        <v>375</v>
      </c>
    </row>
    <row r="14" ht="14.25" customHeight="1">
      <c r="A14" s="32" t="s">
        <v>370</v>
      </c>
      <c r="B14" s="32" t="s">
        <v>376</v>
      </c>
      <c r="C14" s="32" t="s">
        <v>377</v>
      </c>
      <c r="D14" s="32" t="s">
        <v>378</v>
      </c>
      <c r="E14" s="32" t="s">
        <v>379</v>
      </c>
      <c r="F14" s="32" t="s">
        <v>380</v>
      </c>
      <c r="G14" s="32" t="s">
        <v>222</v>
      </c>
      <c r="H14" s="77">
        <v>46115.0</v>
      </c>
      <c r="I14" s="32" t="s">
        <v>381</v>
      </c>
    </row>
    <row r="15" ht="14.25" customHeight="1">
      <c r="A15" s="33" t="s">
        <v>370</v>
      </c>
      <c r="B15" s="36">
        <v>7.4</v>
      </c>
      <c r="C15" s="33" t="s">
        <v>382</v>
      </c>
      <c r="D15" s="33" t="s">
        <v>383</v>
      </c>
      <c r="E15" s="33" t="s">
        <v>384</v>
      </c>
      <c r="F15" s="33" t="s">
        <v>188</v>
      </c>
      <c r="G15" s="33" t="s">
        <v>222</v>
      </c>
      <c r="H15" s="78">
        <v>46115.0</v>
      </c>
      <c r="I15" s="40" t="s">
        <v>385</v>
      </c>
    </row>
    <row r="16" ht="14.25" customHeight="1">
      <c r="A16" s="32" t="s">
        <v>370</v>
      </c>
      <c r="B16" s="37" t="s">
        <v>386</v>
      </c>
      <c r="C16" s="32" t="s">
        <v>387</v>
      </c>
      <c r="D16" s="32" t="s">
        <v>388</v>
      </c>
      <c r="E16" s="32" t="s">
        <v>389</v>
      </c>
      <c r="F16" s="32" t="s">
        <v>188</v>
      </c>
      <c r="G16" s="32" t="s">
        <v>362</v>
      </c>
      <c r="H16" s="33" t="s">
        <v>363</v>
      </c>
      <c r="I16" s="32" t="s">
        <v>390</v>
      </c>
    </row>
    <row r="17" ht="14.25" customHeight="1">
      <c r="A17" s="33" t="s">
        <v>370</v>
      </c>
      <c r="B17" s="36">
        <v>8.4</v>
      </c>
      <c r="C17" s="33" t="s">
        <v>391</v>
      </c>
      <c r="D17" s="33" t="s">
        <v>392</v>
      </c>
      <c r="E17" s="33" t="s">
        <v>393</v>
      </c>
      <c r="F17" s="33" t="s">
        <v>283</v>
      </c>
      <c r="G17" s="33" t="s">
        <v>327</v>
      </c>
      <c r="H17" s="79">
        <v>46115.0</v>
      </c>
      <c r="I17" s="33" t="s">
        <v>394</v>
      </c>
    </row>
    <row r="18" ht="14.25" customHeight="1">
      <c r="A18" s="33" t="s">
        <v>370</v>
      </c>
      <c r="B18" s="36">
        <v>9.2</v>
      </c>
      <c r="C18" s="33" t="s">
        <v>395</v>
      </c>
      <c r="D18" s="33" t="s">
        <v>396</v>
      </c>
      <c r="E18" s="33" t="s">
        <v>397</v>
      </c>
      <c r="F18" s="33" t="s">
        <v>395</v>
      </c>
      <c r="G18" s="33" t="s">
        <v>362</v>
      </c>
      <c r="H18" s="33" t="s">
        <v>363</v>
      </c>
      <c r="I18" s="33" t="s">
        <v>398</v>
      </c>
    </row>
    <row r="19" ht="14.25" customHeight="1">
      <c r="A19" s="33" t="s">
        <v>370</v>
      </c>
      <c r="B19" s="36">
        <v>10.1</v>
      </c>
      <c r="C19" s="33" t="s">
        <v>399</v>
      </c>
      <c r="D19" s="33" t="s">
        <v>400</v>
      </c>
      <c r="E19" s="33" t="s">
        <v>401</v>
      </c>
      <c r="F19" s="33" t="s">
        <v>188</v>
      </c>
      <c r="G19" s="33" t="s">
        <v>362</v>
      </c>
      <c r="H19" s="33" t="s">
        <v>363</v>
      </c>
      <c r="I19" s="33" t="s">
        <v>402</v>
      </c>
    </row>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sheetData>
  <printOptions/>
  <pageMargins bottom="0.75" footer="0.0" header="0.0" left="0.7" right="0.7" top="0.75"/>
  <pageSetup orientation="landscape"/>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14"/>
    <col customWidth="1" min="2" max="2" width="22.57"/>
    <col customWidth="1" min="3" max="3" width="26.43"/>
    <col customWidth="1" min="4" max="5" width="10.57"/>
    <col customWidth="1" min="6" max="6" width="14.86"/>
    <col customWidth="1" min="7" max="7" width="18.29"/>
    <col customWidth="1" min="8" max="8" width="15.43"/>
    <col customWidth="1" min="9" max="9" width="15.0"/>
    <col customWidth="1" min="10" max="10" width="11.57"/>
    <col customWidth="1" min="11" max="11" width="17.71"/>
    <col customWidth="1" min="12" max="12" width="11.57"/>
    <col customWidth="1" min="13" max="13" width="12.57"/>
    <col customWidth="1" min="14" max="26" width="8.71"/>
  </cols>
  <sheetData>
    <row r="1" ht="14.25" customHeight="1">
      <c r="A1" s="80" t="s">
        <v>403</v>
      </c>
      <c r="B1" s="80" t="s">
        <v>404</v>
      </c>
      <c r="C1" s="80" t="s">
        <v>405</v>
      </c>
      <c r="D1" s="80" t="s">
        <v>406</v>
      </c>
      <c r="E1" s="80" t="s">
        <v>196</v>
      </c>
      <c r="F1" s="80" t="s">
        <v>407</v>
      </c>
      <c r="G1" s="80" t="s">
        <v>408</v>
      </c>
      <c r="H1" s="80" t="s">
        <v>277</v>
      </c>
      <c r="I1" s="80" t="s">
        <v>409</v>
      </c>
      <c r="J1" s="80" t="s">
        <v>410</v>
      </c>
      <c r="K1" s="80" t="s">
        <v>207</v>
      </c>
      <c r="L1" s="80" t="s">
        <v>173</v>
      </c>
      <c r="M1" s="80" t="s">
        <v>411</v>
      </c>
    </row>
    <row r="2" ht="14.25" customHeight="1">
      <c r="A2" s="42" t="s">
        <v>412</v>
      </c>
      <c r="B2" s="42" t="s">
        <v>413</v>
      </c>
      <c r="C2" s="42" t="s">
        <v>414</v>
      </c>
      <c r="D2" s="42" t="s">
        <v>415</v>
      </c>
      <c r="E2" s="42" t="s">
        <v>130</v>
      </c>
      <c r="F2" s="42" t="s">
        <v>416</v>
      </c>
      <c r="G2" s="42" t="s">
        <v>417</v>
      </c>
      <c r="H2" s="42" t="s">
        <v>418</v>
      </c>
      <c r="I2" s="42" t="s">
        <v>419</v>
      </c>
      <c r="J2" s="42" t="s">
        <v>66</v>
      </c>
      <c r="K2" s="42" t="s">
        <v>420</v>
      </c>
      <c r="L2" s="42" t="s">
        <v>421</v>
      </c>
      <c r="M2" s="42" t="s">
        <v>422</v>
      </c>
    </row>
    <row r="3" ht="14.25" customHeight="1">
      <c r="A3" s="42" t="s">
        <v>423</v>
      </c>
      <c r="B3" s="42" t="s">
        <v>424</v>
      </c>
      <c r="C3" s="42" t="s">
        <v>425</v>
      </c>
      <c r="D3" s="42" t="s">
        <v>426</v>
      </c>
      <c r="E3" s="42" t="s">
        <v>130</v>
      </c>
      <c r="F3" s="42" t="s">
        <v>427</v>
      </c>
      <c r="G3" s="42" t="s">
        <v>428</v>
      </c>
      <c r="H3" s="42" t="s">
        <v>429</v>
      </c>
      <c r="I3" s="42" t="s">
        <v>430</v>
      </c>
      <c r="J3" s="42" t="s">
        <v>66</v>
      </c>
      <c r="K3" s="42" t="s">
        <v>431</v>
      </c>
      <c r="L3" s="42" t="s">
        <v>432</v>
      </c>
      <c r="M3" s="42" t="s">
        <v>433</v>
      </c>
    </row>
    <row r="4" ht="14.25" customHeight="1">
      <c r="A4" s="42" t="s">
        <v>434</v>
      </c>
      <c r="B4" s="42" t="s">
        <v>435</v>
      </c>
      <c r="C4" s="42" t="s">
        <v>436</v>
      </c>
      <c r="D4" s="42" t="s">
        <v>437</v>
      </c>
      <c r="E4" s="42" t="s">
        <v>131</v>
      </c>
      <c r="F4" s="42" t="s">
        <v>438</v>
      </c>
      <c r="G4" s="42" t="s">
        <v>439</v>
      </c>
      <c r="H4" s="42" t="s">
        <v>440</v>
      </c>
      <c r="I4" s="42" t="s">
        <v>441</v>
      </c>
      <c r="J4" s="42" t="s">
        <v>37</v>
      </c>
      <c r="K4" s="42" t="s">
        <v>442</v>
      </c>
      <c r="L4" s="42" t="s">
        <v>443</v>
      </c>
      <c r="M4" s="42" t="s">
        <v>422</v>
      </c>
    </row>
    <row r="5" ht="14.25" customHeight="1">
      <c r="A5" s="42" t="s">
        <v>444</v>
      </c>
      <c r="B5" s="42" t="s">
        <v>445</v>
      </c>
      <c r="C5" s="42" t="s">
        <v>446</v>
      </c>
      <c r="D5" s="42" t="s">
        <v>437</v>
      </c>
      <c r="E5" s="42" t="s">
        <v>198</v>
      </c>
      <c r="F5" s="42" t="s">
        <v>447</v>
      </c>
      <c r="G5" s="42" t="s">
        <v>448</v>
      </c>
      <c r="H5" s="60" t="s">
        <v>449</v>
      </c>
      <c r="I5" s="33" t="s">
        <v>450</v>
      </c>
      <c r="J5" s="42" t="s">
        <v>37</v>
      </c>
      <c r="K5" s="42" t="s">
        <v>442</v>
      </c>
      <c r="L5" s="42" t="s">
        <v>361</v>
      </c>
      <c r="M5" s="42" t="s">
        <v>422</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rintOptions/>
  <pageMargins bottom="0.75" footer="0.0" header="0.0" left="0.7" right="0.7" top="0.75"/>
  <pageSetup orientation="landscape"/>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3.43"/>
    <col customWidth="1" min="3" max="3" width="16.71"/>
    <col customWidth="1" min="4" max="4" width="10.86"/>
    <col customWidth="1" min="5" max="5" width="12.29"/>
    <col customWidth="1" min="6" max="6" width="36.86"/>
    <col customWidth="1" min="7" max="7" width="11.43"/>
    <col customWidth="1" min="8" max="8" width="13.71"/>
    <col customWidth="1" min="9" max="9" width="10.14"/>
    <col customWidth="1" min="10" max="10" width="15.14"/>
    <col customWidth="1" min="11" max="11" width="14.43"/>
    <col customWidth="1" min="12" max="26" width="8.71"/>
  </cols>
  <sheetData>
    <row r="1" ht="14.25" customHeight="1">
      <c r="A1" s="81" t="s">
        <v>165</v>
      </c>
      <c r="B1" s="81" t="s">
        <v>119</v>
      </c>
      <c r="C1" s="81" t="s">
        <v>166</v>
      </c>
      <c r="D1" s="81" t="s">
        <v>169</v>
      </c>
      <c r="E1" s="81" t="s">
        <v>451</v>
      </c>
      <c r="F1" s="81" t="s">
        <v>452</v>
      </c>
      <c r="G1" s="81" t="s">
        <v>208</v>
      </c>
      <c r="H1" s="81" t="s">
        <v>453</v>
      </c>
      <c r="I1" s="81" t="s">
        <v>314</v>
      </c>
      <c r="J1" s="81" t="s">
        <v>172</v>
      </c>
      <c r="K1" s="81" t="s">
        <v>212</v>
      </c>
    </row>
    <row r="2" ht="14.25" customHeight="1">
      <c r="A2" s="82" t="s">
        <v>454</v>
      </c>
      <c r="B2" s="82" t="s">
        <v>175</v>
      </c>
      <c r="C2" s="82" t="s">
        <v>176</v>
      </c>
      <c r="D2" s="82">
        <v>25.0</v>
      </c>
      <c r="E2" s="82" t="s">
        <v>455</v>
      </c>
      <c r="F2" s="82" t="s">
        <v>456</v>
      </c>
      <c r="G2" s="82" t="s">
        <v>177</v>
      </c>
      <c r="H2" s="83">
        <v>46172.0</v>
      </c>
      <c r="I2" s="82" t="s">
        <v>222</v>
      </c>
      <c r="J2" s="82">
        <v>12.0</v>
      </c>
      <c r="K2" s="82" t="s">
        <v>457</v>
      </c>
    </row>
    <row r="3" ht="14.25" customHeight="1">
      <c r="A3" s="82" t="s">
        <v>458</v>
      </c>
      <c r="B3" s="82" t="s">
        <v>179</v>
      </c>
      <c r="C3" s="82" t="s">
        <v>180</v>
      </c>
      <c r="D3" s="82">
        <v>20.0</v>
      </c>
      <c r="E3" s="82" t="s">
        <v>455</v>
      </c>
      <c r="F3" s="82" t="s">
        <v>459</v>
      </c>
      <c r="G3" s="82" t="s">
        <v>181</v>
      </c>
      <c r="H3" s="83">
        <v>46157.0</v>
      </c>
      <c r="I3" s="82" t="s">
        <v>222</v>
      </c>
      <c r="J3" s="82">
        <v>8.0</v>
      </c>
      <c r="K3" s="82" t="s">
        <v>460</v>
      </c>
    </row>
    <row r="4" ht="14.25" customHeight="1">
      <c r="A4" s="82" t="s">
        <v>461</v>
      </c>
      <c r="B4" s="82" t="s">
        <v>183</v>
      </c>
      <c r="C4" s="82" t="s">
        <v>184</v>
      </c>
      <c r="D4" s="82">
        <v>20.0</v>
      </c>
      <c r="E4" s="82" t="s">
        <v>455</v>
      </c>
      <c r="F4" s="82" t="s">
        <v>462</v>
      </c>
      <c r="G4" s="82" t="s">
        <v>46</v>
      </c>
      <c r="H4" s="83">
        <v>46174.0</v>
      </c>
      <c r="I4" s="82" t="s">
        <v>362</v>
      </c>
      <c r="J4" s="82">
        <v>9.0</v>
      </c>
      <c r="K4" s="82" t="s">
        <v>463</v>
      </c>
    </row>
    <row r="5" ht="14.25" customHeight="1">
      <c r="A5" s="82" t="s">
        <v>464</v>
      </c>
      <c r="B5" s="82" t="s">
        <v>186</v>
      </c>
      <c r="C5" s="82" t="s">
        <v>187</v>
      </c>
      <c r="D5" s="82">
        <v>20.0</v>
      </c>
      <c r="E5" s="82" t="s">
        <v>455</v>
      </c>
      <c r="F5" s="82" t="s">
        <v>465</v>
      </c>
      <c r="G5" s="82" t="s">
        <v>188</v>
      </c>
      <c r="H5" s="83">
        <v>46188.0</v>
      </c>
      <c r="I5" s="82" t="s">
        <v>362</v>
      </c>
      <c r="J5" s="82">
        <v>12.0</v>
      </c>
      <c r="K5" s="82" t="s">
        <v>466</v>
      </c>
    </row>
    <row r="6" ht="14.25" customHeight="1">
      <c r="A6" s="82" t="s">
        <v>467</v>
      </c>
      <c r="B6" s="84"/>
      <c r="C6" s="82" t="s">
        <v>69</v>
      </c>
      <c r="D6" s="82">
        <v>20.0</v>
      </c>
      <c r="E6" s="82" t="s">
        <v>455</v>
      </c>
      <c r="F6" s="82" t="s">
        <v>468</v>
      </c>
      <c r="G6" s="82" t="s">
        <v>43</v>
      </c>
      <c r="H6" s="83">
        <v>46183.0</v>
      </c>
      <c r="I6" s="82" t="s">
        <v>222</v>
      </c>
      <c r="J6" s="82">
        <v>8.0</v>
      </c>
      <c r="K6" s="82" t="s">
        <v>469</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sheetData>
  <printOptions/>
  <pageMargins bottom="0.75" footer="0.0" header="0.0" left="0.7" right="0.7" top="0.75"/>
  <pageSetup orientation="landscape"/>
  <drawing r:id="rId1"/>
  <tableParts count="1">
    <tablePart r:id="rId3"/>
  </tableParts>
</worksheet>
</file>